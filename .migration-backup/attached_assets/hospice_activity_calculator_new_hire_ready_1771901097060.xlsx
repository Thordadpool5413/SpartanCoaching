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sheetId="1" state="visible" r:id="rId1"/>
    <sheet xmlns:r="http://schemas.openxmlformats.org/officeDocument/2006/relationships" name="Read Me" sheetId="2" state="visible" r:id="rId2"/>
    <sheet xmlns:r="http://schemas.openxmlformats.org/officeDocument/2006/relationships" name="Rep Targets" sheetId="3" state="visible" r:id="rId3"/>
    <sheet xmlns:r="http://schemas.openxmlformats.org/officeDocument/2006/relationships" name="Rep Dashboard"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6"/>
    </font>
    <font>
      <b val="1"/>
      <color rgb="00FFFFFF"/>
    </font>
    <font>
      <b val="1"/>
      <color rgb="001F4E79"/>
    </font>
  </fonts>
  <fills count="6">
    <fill>
      <patternFill/>
    </fill>
    <fill>
      <patternFill patternType="gray125"/>
    </fill>
    <fill>
      <patternFill patternType="solid">
        <fgColor rgb="001F4E79"/>
      </patternFill>
    </fill>
    <fill>
      <patternFill patternType="solid">
        <fgColor rgb="00D9E1F2"/>
      </patternFill>
    </fill>
    <fill>
      <patternFill patternType="solid">
        <fgColor rgb="00F2F2F2"/>
      </patternFill>
    </fill>
    <fill>
      <patternFill patternType="solid">
        <fgColor rgb="00FFF2C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1" fontId="0" fillId="0" borderId="1" applyAlignment="1" pivotButton="0" quotePrefix="0" xfId="0">
      <alignment vertical="top" wrapText="1"/>
    </xf>
    <xf numFmtId="9" fontId="0" fillId="0"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0" fillId="3" borderId="1" applyAlignment="1" pivotButton="0" quotePrefix="0" xfId="0">
      <alignment vertical="top" wrapText="1"/>
    </xf>
    <xf numFmtId="1" fontId="0" fillId="3" borderId="1" applyAlignment="1" pivotButton="0" quotePrefix="0" xfId="0">
      <alignment vertical="top" wrapText="1"/>
    </xf>
    <xf numFmtId="1" fontId="0" fillId="4" borderId="1" applyAlignment="1" pivotButton="0" quotePrefix="0" xfId="0">
      <alignment vertical="top" wrapText="1"/>
    </xf>
    <xf numFmtId="2" fontId="0" fillId="4"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horizontal="center" vertical="center" wrapText="1"/>
    </xf>
    <xf numFmtId="2"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Calculator</author>
  </authors>
  <commentList>
    <comment ref="B2" authorId="0" shapeId="0">
      <text>
        <t>Choose New hire if the rep has no prior month numbers yet. Choose Tenured if they have last cycle data.</t>
      </text>
    </comment>
    <comment ref="E2" authorId="0" shapeId="0">
      <text>
        <t>Tenured reps only. Enter admissions produced in the last 20 workdays. New hires can leave this at 0.</t>
      </text>
    </comment>
    <comment ref="F2" authorId="0" shapeId="0">
      <text>
        <t>Tenured reps only. Enter live referral conversations in the last 20 workdays. New hires can leave this at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8" customWidth="1" min="2" max="2"/>
    <col width="86" customWidth="1" min="3" max="3"/>
  </cols>
  <sheetData>
    <row r="1">
      <c r="A1" s="1" t="inlineStr">
        <is>
          <t>Calculator settings</t>
        </is>
      </c>
    </row>
    <row r="2">
      <c r="A2" s="2" t="inlineStr">
        <is>
          <t>Setting</t>
        </is>
      </c>
      <c r="B2" s="2" t="inlineStr">
        <is>
          <t>Value</t>
        </is>
      </c>
      <c r="C2" s="2" t="inlineStr">
        <is>
          <t>Plain English</t>
        </is>
      </c>
    </row>
    <row r="3">
      <c r="A3" s="3" t="inlineStr">
        <is>
          <t>Workdays in month</t>
        </is>
      </c>
      <c r="B3" s="4" t="n">
        <v>20</v>
      </c>
      <c r="C3" s="3" t="inlineStr">
        <is>
          <t>Working days in a typical month. This workbook uses 20.</t>
        </is>
      </c>
    </row>
    <row r="4">
      <c r="A4" s="3" t="inlineStr">
        <is>
          <t>Workdays per week</t>
        </is>
      </c>
      <c r="B4" s="4" t="n">
        <v>5</v>
      </c>
      <c r="C4" s="3" t="inlineStr">
        <is>
          <t>Used to calculate weekly targets from workdays.</t>
        </is>
      </c>
    </row>
    <row r="5">
      <c r="A5" s="3" t="inlineStr">
        <is>
          <t>Buffer conversations per admission</t>
        </is>
      </c>
      <c r="B5" s="4" t="n">
        <v>2</v>
      </c>
      <c r="C5" s="3" t="inlineStr">
        <is>
          <t>Add two extra referral conversations for every admission needed.</t>
        </is>
      </c>
    </row>
    <row r="6">
      <c r="A6" s="3" t="inlineStr">
        <is>
          <t>Team baseline conversations per admission</t>
        </is>
      </c>
      <c r="B6" s="4" t="n">
        <v>15</v>
      </c>
      <c r="C6" s="3" t="inlineStr">
        <is>
          <t>Used for new hires and for any rep with zero admissions last cycle.</t>
        </is>
      </c>
    </row>
    <row r="7">
      <c r="A7" s="3" t="inlineStr">
        <is>
          <t>Ramp week 1 percent</t>
        </is>
      </c>
      <c r="B7" s="5" t="n">
        <v>0.5</v>
      </c>
      <c r="C7" s="3" t="inlineStr">
        <is>
          <t>New hire ramp: percent of steady state weekly target in week 1.</t>
        </is>
      </c>
    </row>
    <row r="8">
      <c r="A8" s="3" t="inlineStr">
        <is>
          <t>Ramp week 2 percent</t>
        </is>
      </c>
      <c r="B8" s="5" t="n">
        <v>0.7</v>
      </c>
      <c r="C8" s="3" t="inlineStr">
        <is>
          <t>New hire ramp: percent of steady state weekly target in week 2.</t>
        </is>
      </c>
    </row>
    <row r="9">
      <c r="A9" s="3" t="inlineStr">
        <is>
          <t>Ramp week 3 percent</t>
        </is>
      </c>
      <c r="B9" s="5" t="n">
        <v>0.85</v>
      </c>
      <c r="C9" s="3" t="inlineStr">
        <is>
          <t>New hire ramp: percent of steady state weekly target in week 3.</t>
        </is>
      </c>
    </row>
    <row r="10">
      <c r="A10" s="3" t="inlineStr">
        <is>
          <t>Ramp week 4 percent</t>
        </is>
      </c>
      <c r="B10" s="5" t="n">
        <v>1</v>
      </c>
      <c r="C10" s="3" t="inlineStr">
        <is>
          <t>New hire ramp: percent of steady state weekly target in week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How to use this calculator</t>
        </is>
      </c>
    </row>
    <row r="3">
      <c r="A3" s="6" t="inlineStr">
        <is>
          <t>Purpose</t>
        </is>
      </c>
    </row>
    <row r="4">
      <c r="A4" s="7" t="inlineStr">
        <is>
          <t>Turn a monthly admission goal into the number of referral source conversations needed for the month, week, and day.</t>
        </is>
      </c>
    </row>
    <row r="5">
      <c r="A5" s="7" t="inlineStr"/>
    </row>
    <row r="6">
      <c r="A6" s="6" t="inlineStr">
        <is>
          <t>What counts as an activity</t>
        </is>
      </c>
    </row>
    <row r="7">
      <c r="A7" s="7" t="inlineStr">
        <is>
          <t>One activity equals a live conversation with a contact at a referral source.</t>
        </is>
      </c>
    </row>
    <row r="8">
      <c r="A8" s="7" t="inlineStr"/>
    </row>
    <row r="9">
      <c r="A9" s="6" t="inlineStr">
        <is>
          <t>What last cycle means</t>
        </is>
      </c>
    </row>
    <row r="10">
      <c r="A10" s="7" t="inlineStr">
        <is>
          <t>Last cycle equals the most recent 20 workdays.</t>
        </is>
      </c>
    </row>
    <row r="11">
      <c r="A11" s="7" t="inlineStr"/>
    </row>
    <row r="12">
      <c r="A12" s="6" t="inlineStr">
        <is>
          <t>Two types of reps this workbook supports</t>
        </is>
      </c>
    </row>
    <row r="13">
      <c r="A13" s="7" t="inlineStr">
        <is>
          <t>Tenured rep: has last cycle admissions and last cycle conversations.</t>
        </is>
      </c>
    </row>
    <row r="14">
      <c r="A14" s="7" t="inlineStr">
        <is>
          <t>New hire: has no prior month numbers yet.</t>
        </is>
      </c>
    </row>
    <row r="15">
      <c r="A15" s="7" t="inlineStr"/>
    </row>
    <row r="16">
      <c r="A16" s="6" t="inlineStr">
        <is>
          <t>How tenured reps are calculated</t>
        </is>
      </c>
    </row>
    <row r="17">
      <c r="A17" s="7" t="inlineStr">
        <is>
          <t>The workbook calculates the rep’s conversations per admission from last cycle.</t>
        </is>
      </c>
    </row>
    <row r="18">
      <c r="A18" s="7" t="inlineStr">
        <is>
          <t>It uses that rate to build this month’s targets, then adds your buffer of two extra conversations per needed admission.</t>
        </is>
      </c>
    </row>
    <row r="19">
      <c r="A19" s="7" t="inlineStr"/>
    </row>
    <row r="20">
      <c r="A20" s="6" t="inlineStr">
        <is>
          <t>How new hires are calculated</t>
        </is>
      </c>
    </row>
    <row r="21">
      <c r="A21" s="7" t="inlineStr">
        <is>
          <t>New hires do not have personal history yet, so the workbook uses a team baseline conversations per admission rate from Settings.</t>
        </is>
      </c>
    </row>
    <row r="22">
      <c r="A22" s="7" t="inlineStr">
        <is>
          <t>It still produces steady state monthly, weekly, and daily targets and also produces a four week ramp plan.</t>
        </is>
      </c>
    </row>
    <row r="23">
      <c r="A23" s="7" t="inlineStr"/>
    </row>
    <row r="24">
      <c r="A24" s="6" t="inlineStr">
        <is>
          <t>What to enter each month</t>
        </is>
      </c>
    </row>
    <row r="25">
      <c r="A25" s="7" t="inlineStr">
        <is>
          <t>For each rep, enter rep name, rep status, monthly admission goal.</t>
        </is>
      </c>
    </row>
    <row r="26">
      <c r="A26" s="7" t="inlineStr">
        <is>
          <t>For tenured reps, also enter last cycle admissions and last cycle referral conversations.</t>
        </is>
      </c>
    </row>
    <row r="27">
      <c r="A27" s="7" t="inlineStr">
        <is>
          <t>For new hires, leave last cycle admissions and conversations at zero.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2"/>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24" customWidth="1" min="3" max="3"/>
    <col width="18" customWidth="1" min="4" max="4"/>
    <col width="18" customWidth="1" min="5" max="5"/>
    <col width="30" customWidth="1" min="6" max="6"/>
    <col width="30" customWidth="1" min="7" max="7"/>
    <col width="28" customWidth="1" min="8" max="8"/>
    <col width="14" customWidth="1" min="9" max="9"/>
    <col width="30" customWidth="1" min="10" max="10"/>
    <col width="30" customWidth="1" min="11" max="11"/>
    <col width="28" customWidth="1" min="12" max="12"/>
    <col width="28" customWidth="1" min="13" max="13"/>
    <col width="24" customWidth="1" min="14" max="14"/>
    <col width="30" customWidth="1" min="15" max="15"/>
    <col width="30" customWidth="1" min="16" max="16"/>
    <col width="30" customWidth="1" min="17" max="17"/>
    <col width="30" customWidth="1" min="18" max="18"/>
    <col width="72" customWidth="1" min="19" max="19"/>
    <col width="72" customWidth="1" min="20" max="20"/>
  </cols>
  <sheetData>
    <row r="1">
      <c r="A1" s="1" t="inlineStr">
        <is>
          <t>Rep Targets</t>
        </is>
      </c>
    </row>
    <row r="2">
      <c r="A2" s="2" t="inlineStr">
        <is>
          <t>Rep name</t>
        </is>
      </c>
      <c r="B2" s="2" t="inlineStr">
        <is>
          <t>Rep status</t>
        </is>
      </c>
      <c r="C2" s="2" t="inlineStr">
        <is>
          <t>Monthly admission goal</t>
        </is>
      </c>
      <c r="D2" s="2" t="inlineStr">
        <is>
          <t>Workdays in month</t>
        </is>
      </c>
      <c r="E2" s="2" t="inlineStr">
        <is>
          <t>Last cycle admissions</t>
        </is>
      </c>
      <c r="F2" s="2" t="inlineStr">
        <is>
          <t>Last cycle referral conversations</t>
        </is>
      </c>
      <c r="G2" s="2" t="inlineStr">
        <is>
          <t>Buffer conversations per admission</t>
        </is>
      </c>
      <c r="H2" s="2" t="inlineStr">
        <is>
          <t>Conversations per admission used</t>
        </is>
      </c>
      <c r="I2" s="2" t="inlineStr">
        <is>
          <t>Rate source</t>
        </is>
      </c>
      <c r="J2" s="2" t="inlineStr">
        <is>
          <t>Base conversations needed this month</t>
        </is>
      </c>
      <c r="K2" s="2" t="inlineStr">
        <is>
          <t>Buffer conversations added this month</t>
        </is>
      </c>
      <c r="L2" s="2" t="inlineStr">
        <is>
          <t>Target conversations this month</t>
        </is>
      </c>
      <c r="M2" s="2" t="inlineStr">
        <is>
          <t>Target conversations per week</t>
        </is>
      </c>
      <c r="N2" s="2" t="inlineStr">
        <is>
          <t>Target conversations per day</t>
        </is>
      </c>
      <c r="O2" s="2" t="inlineStr">
        <is>
          <t>New hire ramp week 1 conversations</t>
        </is>
      </c>
      <c r="P2" s="2" t="inlineStr">
        <is>
          <t>New hire ramp week 2 conversations</t>
        </is>
      </c>
      <c r="Q2" s="2" t="inlineStr">
        <is>
          <t>New hire ramp week 3 conversations</t>
        </is>
      </c>
      <c r="R2" s="2" t="inlineStr">
        <is>
          <t>New hire ramp week 4 conversations</t>
        </is>
      </c>
      <c r="S2" s="2" t="inlineStr">
        <is>
          <t>Plain English plan</t>
        </is>
      </c>
      <c r="T2" s="2" t="inlineStr">
        <is>
          <t>Plain English ramp plan</t>
        </is>
      </c>
    </row>
    <row r="3">
      <c r="A3" s="8" t="n"/>
      <c r="B3" s="8" t="n"/>
      <c r="C3" s="9" t="n"/>
      <c r="D3" s="10">
        <f>Settings!$B$3</f>
        <v/>
      </c>
      <c r="E3" s="9" t="n"/>
      <c r="F3" s="9" t="n"/>
      <c r="G3" s="10">
        <f>Settings!$B$5</f>
        <v/>
      </c>
      <c r="H3" s="11">
        <f>IF($B3="New hire",Settings!$B$6,IF($E3&gt;0,$F3/$E3,Settings!$B$6))</f>
        <v/>
      </c>
      <c r="I3" s="12">
        <f>IF($B3="New hire","Baseline",IF($E3&gt;0,"Personal","Baseline"))</f>
        <v/>
      </c>
      <c r="J3" s="10">
        <f>IF($C3&gt;0,$C3*$H3,"")</f>
        <v/>
      </c>
      <c r="K3" s="10">
        <f>IF($C3&gt;0,$G3*$C3,"")</f>
        <v/>
      </c>
      <c r="L3" s="10">
        <f>IF($C3&gt;0,$J3+$K3,"")</f>
        <v/>
      </c>
      <c r="M3" s="10">
        <f>IF($L3&gt;0,CEILING($L3/($D3/Settings!$B$4),1),"")</f>
        <v/>
      </c>
      <c r="N3" s="10">
        <f>IF($L3&gt;0,CEILING($L3/$D3,1),"")</f>
        <v/>
      </c>
      <c r="O3" s="10">
        <f>IF($B3="New hire",CEILING($M3*Settings!$B$7,1),"")</f>
        <v/>
      </c>
      <c r="P3" s="10">
        <f>IF($B3="New hire",CEILING($M3*Settings!$B$8,1),"")</f>
        <v/>
      </c>
      <c r="Q3" s="10">
        <f>IF($B3="New hire",CEILING($M3*Settings!$B$9,1),"")</f>
        <v/>
      </c>
      <c r="R3" s="10">
        <f>IF($B3="New hire",CEILING($M3*Settings!$B$10,1),"")</f>
        <v/>
      </c>
      <c r="S3" s="13">
        <f>IF($C3&gt;0,"To hit "&amp;$C3&amp;" admissions this month, plan for "&amp;TEXT(ROUNDUP($L3,0),"0")&amp;" referral conversations this month. That is "&amp;TEXT($M3,"0")&amp;" per week and "&amp;TEXT($N3,"0")&amp;" per day. This includes a buffer of "&amp;TEXT($K3,"0")&amp;" extra conversations. Rate used: "&amp;$I3&amp;".","")</f>
        <v/>
      </c>
      <c r="T3" s="13">
        <f>IF($B3="New hire","New hire ramp plan based on the steady state weekly target of "&amp;TEXT($M3,"0")&amp;" conversations per week. Week 1: "&amp;TEXT($O3,"0")&amp;". Week 2: "&amp;TEXT($P3,"0")&amp;". Week 3: "&amp;TEXT($Q3,"0")&amp;". Week 4: "&amp;TEXT($R3,"0")&amp;".","")</f>
        <v/>
      </c>
    </row>
    <row r="4">
      <c r="A4" s="8" t="n"/>
      <c r="B4" s="8" t="n"/>
      <c r="C4" s="9" t="n"/>
      <c r="D4" s="10">
        <f>Settings!$B$3</f>
        <v/>
      </c>
      <c r="E4" s="9" t="n"/>
      <c r="F4" s="9" t="n"/>
      <c r="G4" s="10">
        <f>Settings!$B$5</f>
        <v/>
      </c>
      <c r="H4" s="11">
        <f>IF($B4="New hire",Settings!$B$6,IF($E4&gt;0,$F4/$E4,Settings!$B$6))</f>
        <v/>
      </c>
      <c r="I4" s="12">
        <f>IF($B4="New hire","Baseline",IF($E4&gt;0,"Personal","Baseline"))</f>
        <v/>
      </c>
      <c r="J4" s="10">
        <f>IF($C4&gt;0,$C4*$H4,"")</f>
        <v/>
      </c>
      <c r="K4" s="10">
        <f>IF($C4&gt;0,$G4*$C4,"")</f>
        <v/>
      </c>
      <c r="L4" s="10">
        <f>IF($C4&gt;0,$J4+$K4,"")</f>
        <v/>
      </c>
      <c r="M4" s="10">
        <f>IF($L4&gt;0,CEILING($L4/($D4/Settings!$B$4),1),"")</f>
        <v/>
      </c>
      <c r="N4" s="10">
        <f>IF($L4&gt;0,CEILING($L4/$D4,1),"")</f>
        <v/>
      </c>
      <c r="O4" s="10">
        <f>IF($B4="New hire",CEILING($M4*Settings!$B$7,1),"")</f>
        <v/>
      </c>
      <c r="P4" s="10">
        <f>IF($B4="New hire",CEILING($M4*Settings!$B$8,1),"")</f>
        <v/>
      </c>
      <c r="Q4" s="10">
        <f>IF($B4="New hire",CEILING($M4*Settings!$B$9,1),"")</f>
        <v/>
      </c>
      <c r="R4" s="10">
        <f>IF($B4="New hire",CEILING($M4*Settings!$B$10,1),"")</f>
        <v/>
      </c>
      <c r="S4" s="13">
        <f>IF($C4&gt;0,"To hit "&amp;$C4&amp;" admissions this month, plan for "&amp;TEXT(ROUNDUP($L4,0),"0")&amp;" referral conversations this month. That is "&amp;TEXT($M4,"0")&amp;" per week and "&amp;TEXT($N4,"0")&amp;" per day. This includes a buffer of "&amp;TEXT($K4,"0")&amp;" extra conversations. Rate used: "&amp;$I4&amp;".","")</f>
        <v/>
      </c>
      <c r="T4" s="13">
        <f>IF($B4="New hire","New hire ramp plan based on the steady state weekly target of "&amp;TEXT($M4,"0")&amp;" conversations per week. Week 1: "&amp;TEXT($O4,"0")&amp;". Week 2: "&amp;TEXT($P4,"0")&amp;". Week 3: "&amp;TEXT($Q4,"0")&amp;". Week 4: "&amp;TEXT($R4,"0")&amp;".","")</f>
        <v/>
      </c>
    </row>
    <row r="5">
      <c r="A5" s="8" t="n"/>
      <c r="B5" s="8" t="n"/>
      <c r="C5" s="9" t="n"/>
      <c r="D5" s="10">
        <f>Settings!$B$3</f>
        <v/>
      </c>
      <c r="E5" s="9" t="n"/>
      <c r="F5" s="9" t="n"/>
      <c r="G5" s="10">
        <f>Settings!$B$5</f>
        <v/>
      </c>
      <c r="H5" s="11">
        <f>IF($B5="New hire",Settings!$B$6,IF($E5&gt;0,$F5/$E5,Settings!$B$6))</f>
        <v/>
      </c>
      <c r="I5" s="12">
        <f>IF($B5="New hire","Baseline",IF($E5&gt;0,"Personal","Baseline"))</f>
        <v/>
      </c>
      <c r="J5" s="10">
        <f>IF($C5&gt;0,$C5*$H5,"")</f>
        <v/>
      </c>
      <c r="K5" s="10">
        <f>IF($C5&gt;0,$G5*$C5,"")</f>
        <v/>
      </c>
      <c r="L5" s="10">
        <f>IF($C5&gt;0,$J5+$K5,"")</f>
        <v/>
      </c>
      <c r="M5" s="10">
        <f>IF($L5&gt;0,CEILING($L5/($D5/Settings!$B$4),1),"")</f>
        <v/>
      </c>
      <c r="N5" s="10">
        <f>IF($L5&gt;0,CEILING($L5/$D5,1),"")</f>
        <v/>
      </c>
      <c r="O5" s="10">
        <f>IF($B5="New hire",CEILING($M5*Settings!$B$7,1),"")</f>
        <v/>
      </c>
      <c r="P5" s="10">
        <f>IF($B5="New hire",CEILING($M5*Settings!$B$8,1),"")</f>
        <v/>
      </c>
      <c r="Q5" s="10">
        <f>IF($B5="New hire",CEILING($M5*Settings!$B$9,1),"")</f>
        <v/>
      </c>
      <c r="R5" s="10">
        <f>IF($B5="New hire",CEILING($M5*Settings!$B$10,1),"")</f>
        <v/>
      </c>
      <c r="S5" s="13">
        <f>IF($C5&gt;0,"To hit "&amp;$C5&amp;" admissions this month, plan for "&amp;TEXT(ROUNDUP($L5,0),"0")&amp;" referral conversations this month. That is "&amp;TEXT($M5,"0")&amp;" per week and "&amp;TEXT($N5,"0")&amp;" per day. This includes a buffer of "&amp;TEXT($K5,"0")&amp;" extra conversations. Rate used: "&amp;$I5&amp;".","")</f>
        <v/>
      </c>
      <c r="T5" s="13">
        <f>IF($B5="New hire","New hire ramp plan based on the steady state weekly target of "&amp;TEXT($M5,"0")&amp;" conversations per week. Week 1: "&amp;TEXT($O5,"0")&amp;". Week 2: "&amp;TEXT($P5,"0")&amp;". Week 3: "&amp;TEXT($Q5,"0")&amp;". Week 4: "&amp;TEXT($R5,"0")&amp;".","")</f>
        <v/>
      </c>
    </row>
    <row r="6">
      <c r="A6" s="8" t="n"/>
      <c r="B6" s="8" t="n"/>
      <c r="C6" s="9" t="n"/>
      <c r="D6" s="10">
        <f>Settings!$B$3</f>
        <v/>
      </c>
      <c r="E6" s="9" t="n"/>
      <c r="F6" s="9" t="n"/>
      <c r="G6" s="10">
        <f>Settings!$B$5</f>
        <v/>
      </c>
      <c r="H6" s="11">
        <f>IF($B6="New hire",Settings!$B$6,IF($E6&gt;0,$F6/$E6,Settings!$B$6))</f>
        <v/>
      </c>
      <c r="I6" s="12">
        <f>IF($B6="New hire","Baseline",IF($E6&gt;0,"Personal","Baseline"))</f>
        <v/>
      </c>
      <c r="J6" s="10">
        <f>IF($C6&gt;0,$C6*$H6,"")</f>
        <v/>
      </c>
      <c r="K6" s="10">
        <f>IF($C6&gt;0,$G6*$C6,"")</f>
        <v/>
      </c>
      <c r="L6" s="10">
        <f>IF($C6&gt;0,$J6+$K6,"")</f>
        <v/>
      </c>
      <c r="M6" s="10">
        <f>IF($L6&gt;0,CEILING($L6/($D6/Settings!$B$4),1),"")</f>
        <v/>
      </c>
      <c r="N6" s="10">
        <f>IF($L6&gt;0,CEILING($L6/$D6,1),"")</f>
        <v/>
      </c>
      <c r="O6" s="10">
        <f>IF($B6="New hire",CEILING($M6*Settings!$B$7,1),"")</f>
        <v/>
      </c>
      <c r="P6" s="10">
        <f>IF($B6="New hire",CEILING($M6*Settings!$B$8,1),"")</f>
        <v/>
      </c>
      <c r="Q6" s="10">
        <f>IF($B6="New hire",CEILING($M6*Settings!$B$9,1),"")</f>
        <v/>
      </c>
      <c r="R6" s="10">
        <f>IF($B6="New hire",CEILING($M6*Settings!$B$10,1),"")</f>
        <v/>
      </c>
      <c r="S6" s="13">
        <f>IF($C6&gt;0,"To hit "&amp;$C6&amp;" admissions this month, plan for "&amp;TEXT(ROUNDUP($L6,0),"0")&amp;" referral conversations this month. That is "&amp;TEXT($M6,"0")&amp;" per week and "&amp;TEXT($N6,"0")&amp;" per day. This includes a buffer of "&amp;TEXT($K6,"0")&amp;" extra conversations. Rate used: "&amp;$I6&amp;".","")</f>
        <v/>
      </c>
      <c r="T6" s="13">
        <f>IF($B6="New hire","New hire ramp plan based on the steady state weekly target of "&amp;TEXT($M6,"0")&amp;" conversations per week. Week 1: "&amp;TEXT($O6,"0")&amp;". Week 2: "&amp;TEXT($P6,"0")&amp;". Week 3: "&amp;TEXT($Q6,"0")&amp;". Week 4: "&amp;TEXT($R6,"0")&amp;".","")</f>
        <v/>
      </c>
    </row>
    <row r="7">
      <c r="A7" s="8" t="n"/>
      <c r="B7" s="8" t="n"/>
      <c r="C7" s="9" t="n"/>
      <c r="D7" s="10">
        <f>Settings!$B$3</f>
        <v/>
      </c>
      <c r="E7" s="9" t="n"/>
      <c r="F7" s="9" t="n"/>
      <c r="G7" s="10">
        <f>Settings!$B$5</f>
        <v/>
      </c>
      <c r="H7" s="11">
        <f>IF($B7="New hire",Settings!$B$6,IF($E7&gt;0,$F7/$E7,Settings!$B$6))</f>
        <v/>
      </c>
      <c r="I7" s="12">
        <f>IF($B7="New hire","Baseline",IF($E7&gt;0,"Personal","Baseline"))</f>
        <v/>
      </c>
      <c r="J7" s="10">
        <f>IF($C7&gt;0,$C7*$H7,"")</f>
        <v/>
      </c>
      <c r="K7" s="10">
        <f>IF($C7&gt;0,$G7*$C7,"")</f>
        <v/>
      </c>
      <c r="L7" s="10">
        <f>IF($C7&gt;0,$J7+$K7,"")</f>
        <v/>
      </c>
      <c r="M7" s="10">
        <f>IF($L7&gt;0,CEILING($L7/($D7/Settings!$B$4),1),"")</f>
        <v/>
      </c>
      <c r="N7" s="10">
        <f>IF($L7&gt;0,CEILING($L7/$D7,1),"")</f>
        <v/>
      </c>
      <c r="O7" s="10">
        <f>IF($B7="New hire",CEILING($M7*Settings!$B$7,1),"")</f>
        <v/>
      </c>
      <c r="P7" s="10">
        <f>IF($B7="New hire",CEILING($M7*Settings!$B$8,1),"")</f>
        <v/>
      </c>
      <c r="Q7" s="10">
        <f>IF($B7="New hire",CEILING($M7*Settings!$B$9,1),"")</f>
        <v/>
      </c>
      <c r="R7" s="10">
        <f>IF($B7="New hire",CEILING($M7*Settings!$B$10,1),"")</f>
        <v/>
      </c>
      <c r="S7" s="13">
        <f>IF($C7&gt;0,"To hit "&amp;$C7&amp;" admissions this month, plan for "&amp;TEXT(ROUNDUP($L7,0),"0")&amp;" referral conversations this month. That is "&amp;TEXT($M7,"0")&amp;" per week and "&amp;TEXT($N7,"0")&amp;" per day. This includes a buffer of "&amp;TEXT($K7,"0")&amp;" extra conversations. Rate used: "&amp;$I7&amp;".","")</f>
        <v/>
      </c>
      <c r="T7" s="13">
        <f>IF($B7="New hire","New hire ramp plan based on the steady state weekly target of "&amp;TEXT($M7,"0")&amp;" conversations per week. Week 1: "&amp;TEXT($O7,"0")&amp;". Week 2: "&amp;TEXT($P7,"0")&amp;". Week 3: "&amp;TEXT($Q7,"0")&amp;". Week 4: "&amp;TEXT($R7,"0")&amp;".","")</f>
        <v/>
      </c>
    </row>
    <row r="8">
      <c r="A8" s="8" t="n"/>
      <c r="B8" s="8" t="n"/>
      <c r="C8" s="9" t="n"/>
      <c r="D8" s="10">
        <f>Settings!$B$3</f>
        <v/>
      </c>
      <c r="E8" s="9" t="n"/>
      <c r="F8" s="9" t="n"/>
      <c r="G8" s="10">
        <f>Settings!$B$5</f>
        <v/>
      </c>
      <c r="H8" s="11">
        <f>IF($B8="New hire",Settings!$B$6,IF($E8&gt;0,$F8/$E8,Settings!$B$6))</f>
        <v/>
      </c>
      <c r="I8" s="12">
        <f>IF($B8="New hire","Baseline",IF($E8&gt;0,"Personal","Baseline"))</f>
        <v/>
      </c>
      <c r="J8" s="10">
        <f>IF($C8&gt;0,$C8*$H8,"")</f>
        <v/>
      </c>
      <c r="K8" s="10">
        <f>IF($C8&gt;0,$G8*$C8,"")</f>
        <v/>
      </c>
      <c r="L8" s="10">
        <f>IF($C8&gt;0,$J8+$K8,"")</f>
        <v/>
      </c>
      <c r="M8" s="10">
        <f>IF($L8&gt;0,CEILING($L8/($D8/Settings!$B$4),1),"")</f>
        <v/>
      </c>
      <c r="N8" s="10">
        <f>IF($L8&gt;0,CEILING($L8/$D8,1),"")</f>
        <v/>
      </c>
      <c r="O8" s="10">
        <f>IF($B8="New hire",CEILING($M8*Settings!$B$7,1),"")</f>
        <v/>
      </c>
      <c r="P8" s="10">
        <f>IF($B8="New hire",CEILING($M8*Settings!$B$8,1),"")</f>
        <v/>
      </c>
      <c r="Q8" s="10">
        <f>IF($B8="New hire",CEILING($M8*Settings!$B$9,1),"")</f>
        <v/>
      </c>
      <c r="R8" s="10">
        <f>IF($B8="New hire",CEILING($M8*Settings!$B$10,1),"")</f>
        <v/>
      </c>
      <c r="S8" s="13">
        <f>IF($C8&gt;0,"To hit "&amp;$C8&amp;" admissions this month, plan for "&amp;TEXT(ROUNDUP($L8,0),"0")&amp;" referral conversations this month. That is "&amp;TEXT($M8,"0")&amp;" per week and "&amp;TEXT($N8,"0")&amp;" per day. This includes a buffer of "&amp;TEXT($K8,"0")&amp;" extra conversations. Rate used: "&amp;$I8&amp;".","")</f>
        <v/>
      </c>
      <c r="T8" s="13">
        <f>IF($B8="New hire","New hire ramp plan based on the steady state weekly target of "&amp;TEXT($M8,"0")&amp;" conversations per week. Week 1: "&amp;TEXT($O8,"0")&amp;". Week 2: "&amp;TEXT($P8,"0")&amp;". Week 3: "&amp;TEXT($Q8,"0")&amp;". Week 4: "&amp;TEXT($R8,"0")&amp;".","")</f>
        <v/>
      </c>
    </row>
    <row r="9">
      <c r="A9" s="8" t="n"/>
      <c r="B9" s="8" t="n"/>
      <c r="C9" s="9" t="n"/>
      <c r="D9" s="10">
        <f>Settings!$B$3</f>
        <v/>
      </c>
      <c r="E9" s="9" t="n"/>
      <c r="F9" s="9" t="n"/>
      <c r="G9" s="10">
        <f>Settings!$B$5</f>
        <v/>
      </c>
      <c r="H9" s="11">
        <f>IF($B9="New hire",Settings!$B$6,IF($E9&gt;0,$F9/$E9,Settings!$B$6))</f>
        <v/>
      </c>
      <c r="I9" s="12">
        <f>IF($B9="New hire","Baseline",IF($E9&gt;0,"Personal","Baseline"))</f>
        <v/>
      </c>
      <c r="J9" s="10">
        <f>IF($C9&gt;0,$C9*$H9,"")</f>
        <v/>
      </c>
      <c r="K9" s="10">
        <f>IF($C9&gt;0,$G9*$C9,"")</f>
        <v/>
      </c>
      <c r="L9" s="10">
        <f>IF($C9&gt;0,$J9+$K9,"")</f>
        <v/>
      </c>
      <c r="M9" s="10">
        <f>IF($L9&gt;0,CEILING($L9/($D9/Settings!$B$4),1),"")</f>
        <v/>
      </c>
      <c r="N9" s="10">
        <f>IF($L9&gt;0,CEILING($L9/$D9,1),"")</f>
        <v/>
      </c>
      <c r="O9" s="10">
        <f>IF($B9="New hire",CEILING($M9*Settings!$B$7,1),"")</f>
        <v/>
      </c>
      <c r="P9" s="10">
        <f>IF($B9="New hire",CEILING($M9*Settings!$B$8,1),"")</f>
        <v/>
      </c>
      <c r="Q9" s="10">
        <f>IF($B9="New hire",CEILING($M9*Settings!$B$9,1),"")</f>
        <v/>
      </c>
      <c r="R9" s="10">
        <f>IF($B9="New hire",CEILING($M9*Settings!$B$10,1),"")</f>
        <v/>
      </c>
      <c r="S9" s="13">
        <f>IF($C9&gt;0,"To hit "&amp;$C9&amp;" admissions this month, plan for "&amp;TEXT(ROUNDUP($L9,0),"0")&amp;" referral conversations this month. That is "&amp;TEXT($M9,"0")&amp;" per week and "&amp;TEXT($N9,"0")&amp;" per day. This includes a buffer of "&amp;TEXT($K9,"0")&amp;" extra conversations. Rate used: "&amp;$I9&amp;".","")</f>
        <v/>
      </c>
      <c r="T9" s="13">
        <f>IF($B9="New hire","New hire ramp plan based on the steady state weekly target of "&amp;TEXT($M9,"0")&amp;" conversations per week. Week 1: "&amp;TEXT($O9,"0")&amp;". Week 2: "&amp;TEXT($P9,"0")&amp;". Week 3: "&amp;TEXT($Q9,"0")&amp;". Week 4: "&amp;TEXT($R9,"0")&amp;".","")</f>
        <v/>
      </c>
    </row>
    <row r="10">
      <c r="A10" s="8" t="n"/>
      <c r="B10" s="8" t="n"/>
      <c r="C10" s="9" t="n"/>
      <c r="D10" s="10">
        <f>Settings!$B$3</f>
        <v/>
      </c>
      <c r="E10" s="9" t="n"/>
      <c r="F10" s="9" t="n"/>
      <c r="G10" s="10">
        <f>Settings!$B$5</f>
        <v/>
      </c>
      <c r="H10" s="11">
        <f>IF($B10="New hire",Settings!$B$6,IF($E10&gt;0,$F10/$E10,Settings!$B$6))</f>
        <v/>
      </c>
      <c r="I10" s="12">
        <f>IF($B10="New hire","Baseline",IF($E10&gt;0,"Personal","Baseline"))</f>
        <v/>
      </c>
      <c r="J10" s="10">
        <f>IF($C10&gt;0,$C10*$H10,"")</f>
        <v/>
      </c>
      <c r="K10" s="10">
        <f>IF($C10&gt;0,$G10*$C10,"")</f>
        <v/>
      </c>
      <c r="L10" s="10">
        <f>IF($C10&gt;0,$J10+$K10,"")</f>
        <v/>
      </c>
      <c r="M10" s="10">
        <f>IF($L10&gt;0,CEILING($L10/($D10/Settings!$B$4),1),"")</f>
        <v/>
      </c>
      <c r="N10" s="10">
        <f>IF($L10&gt;0,CEILING($L10/$D10,1),"")</f>
        <v/>
      </c>
      <c r="O10" s="10">
        <f>IF($B10="New hire",CEILING($M10*Settings!$B$7,1),"")</f>
        <v/>
      </c>
      <c r="P10" s="10">
        <f>IF($B10="New hire",CEILING($M10*Settings!$B$8,1),"")</f>
        <v/>
      </c>
      <c r="Q10" s="10">
        <f>IF($B10="New hire",CEILING($M10*Settings!$B$9,1),"")</f>
        <v/>
      </c>
      <c r="R10" s="10">
        <f>IF($B10="New hire",CEILING($M10*Settings!$B$10,1),"")</f>
        <v/>
      </c>
      <c r="S10" s="13">
        <f>IF($C10&gt;0,"To hit "&amp;$C10&amp;" admissions this month, plan for "&amp;TEXT(ROUNDUP($L10,0),"0")&amp;" referral conversations this month. That is "&amp;TEXT($M10,"0")&amp;" per week and "&amp;TEXT($N10,"0")&amp;" per day. This includes a buffer of "&amp;TEXT($K10,"0")&amp;" extra conversations. Rate used: "&amp;$I10&amp;".","")</f>
        <v/>
      </c>
      <c r="T10" s="13">
        <f>IF($B10="New hire","New hire ramp plan based on the steady state weekly target of "&amp;TEXT($M10,"0")&amp;" conversations per week. Week 1: "&amp;TEXT($O10,"0")&amp;". Week 2: "&amp;TEXT($P10,"0")&amp;". Week 3: "&amp;TEXT($Q10,"0")&amp;". Week 4: "&amp;TEXT($R10,"0")&amp;".","")</f>
        <v/>
      </c>
    </row>
    <row r="11">
      <c r="A11" s="8" t="n"/>
      <c r="B11" s="8" t="n"/>
      <c r="C11" s="9" t="n"/>
      <c r="D11" s="10">
        <f>Settings!$B$3</f>
        <v/>
      </c>
      <c r="E11" s="9" t="n"/>
      <c r="F11" s="9" t="n"/>
      <c r="G11" s="10">
        <f>Settings!$B$5</f>
        <v/>
      </c>
      <c r="H11" s="11">
        <f>IF($B11="New hire",Settings!$B$6,IF($E11&gt;0,$F11/$E11,Settings!$B$6))</f>
        <v/>
      </c>
      <c r="I11" s="12">
        <f>IF($B11="New hire","Baseline",IF($E11&gt;0,"Personal","Baseline"))</f>
        <v/>
      </c>
      <c r="J11" s="10">
        <f>IF($C11&gt;0,$C11*$H11,"")</f>
        <v/>
      </c>
      <c r="K11" s="10">
        <f>IF($C11&gt;0,$G11*$C11,"")</f>
        <v/>
      </c>
      <c r="L11" s="10">
        <f>IF($C11&gt;0,$J11+$K11,"")</f>
        <v/>
      </c>
      <c r="M11" s="10">
        <f>IF($L11&gt;0,CEILING($L11/($D11/Settings!$B$4),1),"")</f>
        <v/>
      </c>
      <c r="N11" s="10">
        <f>IF($L11&gt;0,CEILING($L11/$D11,1),"")</f>
        <v/>
      </c>
      <c r="O11" s="10">
        <f>IF($B11="New hire",CEILING($M11*Settings!$B$7,1),"")</f>
        <v/>
      </c>
      <c r="P11" s="10">
        <f>IF($B11="New hire",CEILING($M11*Settings!$B$8,1),"")</f>
        <v/>
      </c>
      <c r="Q11" s="10">
        <f>IF($B11="New hire",CEILING($M11*Settings!$B$9,1),"")</f>
        <v/>
      </c>
      <c r="R11" s="10">
        <f>IF($B11="New hire",CEILING($M11*Settings!$B$10,1),"")</f>
        <v/>
      </c>
      <c r="S11" s="13">
        <f>IF($C11&gt;0,"To hit "&amp;$C11&amp;" admissions this month, plan for "&amp;TEXT(ROUNDUP($L11,0),"0")&amp;" referral conversations this month. That is "&amp;TEXT($M11,"0")&amp;" per week and "&amp;TEXT($N11,"0")&amp;" per day. This includes a buffer of "&amp;TEXT($K11,"0")&amp;" extra conversations. Rate used: "&amp;$I11&amp;".","")</f>
        <v/>
      </c>
      <c r="T11" s="13">
        <f>IF($B11="New hire","New hire ramp plan based on the steady state weekly target of "&amp;TEXT($M11,"0")&amp;" conversations per week. Week 1: "&amp;TEXT($O11,"0")&amp;". Week 2: "&amp;TEXT($P11,"0")&amp;". Week 3: "&amp;TEXT($Q11,"0")&amp;". Week 4: "&amp;TEXT($R11,"0")&amp;".","")</f>
        <v/>
      </c>
    </row>
    <row r="12">
      <c r="A12" s="8" t="n"/>
      <c r="B12" s="8" t="n"/>
      <c r="C12" s="9" t="n"/>
      <c r="D12" s="10">
        <f>Settings!$B$3</f>
        <v/>
      </c>
      <c r="E12" s="9" t="n"/>
      <c r="F12" s="9" t="n"/>
      <c r="G12" s="10">
        <f>Settings!$B$5</f>
        <v/>
      </c>
      <c r="H12" s="11">
        <f>IF($B12="New hire",Settings!$B$6,IF($E12&gt;0,$F12/$E12,Settings!$B$6))</f>
        <v/>
      </c>
      <c r="I12" s="12">
        <f>IF($B12="New hire","Baseline",IF($E12&gt;0,"Personal","Baseline"))</f>
        <v/>
      </c>
      <c r="J12" s="10">
        <f>IF($C12&gt;0,$C12*$H12,"")</f>
        <v/>
      </c>
      <c r="K12" s="10">
        <f>IF($C12&gt;0,$G12*$C12,"")</f>
        <v/>
      </c>
      <c r="L12" s="10">
        <f>IF($C12&gt;0,$J12+$K12,"")</f>
        <v/>
      </c>
      <c r="M12" s="10">
        <f>IF($L12&gt;0,CEILING($L12/($D12/Settings!$B$4),1),"")</f>
        <v/>
      </c>
      <c r="N12" s="10">
        <f>IF($L12&gt;0,CEILING($L12/$D12,1),"")</f>
        <v/>
      </c>
      <c r="O12" s="10">
        <f>IF($B12="New hire",CEILING($M12*Settings!$B$7,1),"")</f>
        <v/>
      </c>
      <c r="P12" s="10">
        <f>IF($B12="New hire",CEILING($M12*Settings!$B$8,1),"")</f>
        <v/>
      </c>
      <c r="Q12" s="10">
        <f>IF($B12="New hire",CEILING($M12*Settings!$B$9,1),"")</f>
        <v/>
      </c>
      <c r="R12" s="10">
        <f>IF($B12="New hire",CEILING($M12*Settings!$B$10,1),"")</f>
        <v/>
      </c>
      <c r="S12" s="13">
        <f>IF($C12&gt;0,"To hit "&amp;$C12&amp;" admissions this month, plan for "&amp;TEXT(ROUNDUP($L12,0),"0")&amp;" referral conversations this month. That is "&amp;TEXT($M12,"0")&amp;" per week and "&amp;TEXT($N12,"0")&amp;" per day. This includes a buffer of "&amp;TEXT($K12,"0")&amp;" extra conversations. Rate used: "&amp;$I12&amp;".","")</f>
        <v/>
      </c>
      <c r="T12" s="13">
        <f>IF($B12="New hire","New hire ramp plan based on the steady state weekly target of "&amp;TEXT($M12,"0")&amp;" conversations per week. Week 1: "&amp;TEXT($O12,"0")&amp;". Week 2: "&amp;TEXT($P12,"0")&amp;". Week 3: "&amp;TEXT($Q12,"0")&amp;". Week 4: "&amp;TEXT($R12,"0")&amp;".","")</f>
        <v/>
      </c>
    </row>
    <row r="13">
      <c r="A13" s="8" t="n"/>
      <c r="B13" s="8" t="n"/>
      <c r="C13" s="9" t="n"/>
      <c r="D13" s="10">
        <f>Settings!$B$3</f>
        <v/>
      </c>
      <c r="E13" s="9" t="n"/>
      <c r="F13" s="9" t="n"/>
      <c r="G13" s="10">
        <f>Settings!$B$5</f>
        <v/>
      </c>
      <c r="H13" s="11">
        <f>IF($B13="New hire",Settings!$B$6,IF($E13&gt;0,$F13/$E13,Settings!$B$6))</f>
        <v/>
      </c>
      <c r="I13" s="12">
        <f>IF($B13="New hire","Baseline",IF($E13&gt;0,"Personal","Baseline"))</f>
        <v/>
      </c>
      <c r="J13" s="10">
        <f>IF($C13&gt;0,$C13*$H13,"")</f>
        <v/>
      </c>
      <c r="K13" s="10">
        <f>IF($C13&gt;0,$G13*$C13,"")</f>
        <v/>
      </c>
      <c r="L13" s="10">
        <f>IF($C13&gt;0,$J13+$K13,"")</f>
        <v/>
      </c>
      <c r="M13" s="10">
        <f>IF($L13&gt;0,CEILING($L13/($D13/Settings!$B$4),1),"")</f>
        <v/>
      </c>
      <c r="N13" s="10">
        <f>IF($L13&gt;0,CEILING($L13/$D13,1),"")</f>
        <v/>
      </c>
      <c r="O13" s="10">
        <f>IF($B13="New hire",CEILING($M13*Settings!$B$7,1),"")</f>
        <v/>
      </c>
      <c r="P13" s="10">
        <f>IF($B13="New hire",CEILING($M13*Settings!$B$8,1),"")</f>
        <v/>
      </c>
      <c r="Q13" s="10">
        <f>IF($B13="New hire",CEILING($M13*Settings!$B$9,1),"")</f>
        <v/>
      </c>
      <c r="R13" s="10">
        <f>IF($B13="New hire",CEILING($M13*Settings!$B$10,1),"")</f>
        <v/>
      </c>
      <c r="S13" s="13">
        <f>IF($C13&gt;0,"To hit "&amp;$C13&amp;" admissions this month, plan for "&amp;TEXT(ROUNDUP($L13,0),"0")&amp;" referral conversations this month. That is "&amp;TEXT($M13,"0")&amp;" per week and "&amp;TEXT($N13,"0")&amp;" per day. This includes a buffer of "&amp;TEXT($K13,"0")&amp;" extra conversations. Rate used: "&amp;$I13&amp;".","")</f>
        <v/>
      </c>
      <c r="T13" s="13">
        <f>IF($B13="New hire","New hire ramp plan based on the steady state weekly target of "&amp;TEXT($M13,"0")&amp;" conversations per week. Week 1: "&amp;TEXT($O13,"0")&amp;". Week 2: "&amp;TEXT($P13,"0")&amp;". Week 3: "&amp;TEXT($Q13,"0")&amp;". Week 4: "&amp;TEXT($R13,"0")&amp;".","")</f>
        <v/>
      </c>
    </row>
    <row r="14">
      <c r="A14" s="8" t="n"/>
      <c r="B14" s="8" t="n"/>
      <c r="C14" s="9" t="n"/>
      <c r="D14" s="10">
        <f>Settings!$B$3</f>
        <v/>
      </c>
      <c r="E14" s="9" t="n"/>
      <c r="F14" s="9" t="n"/>
      <c r="G14" s="10">
        <f>Settings!$B$5</f>
        <v/>
      </c>
      <c r="H14" s="11">
        <f>IF($B14="New hire",Settings!$B$6,IF($E14&gt;0,$F14/$E14,Settings!$B$6))</f>
        <v/>
      </c>
      <c r="I14" s="12">
        <f>IF($B14="New hire","Baseline",IF($E14&gt;0,"Personal","Baseline"))</f>
        <v/>
      </c>
      <c r="J14" s="10">
        <f>IF($C14&gt;0,$C14*$H14,"")</f>
        <v/>
      </c>
      <c r="K14" s="10">
        <f>IF($C14&gt;0,$G14*$C14,"")</f>
        <v/>
      </c>
      <c r="L14" s="10">
        <f>IF($C14&gt;0,$J14+$K14,"")</f>
        <v/>
      </c>
      <c r="M14" s="10">
        <f>IF($L14&gt;0,CEILING($L14/($D14/Settings!$B$4),1),"")</f>
        <v/>
      </c>
      <c r="N14" s="10">
        <f>IF($L14&gt;0,CEILING($L14/$D14,1),"")</f>
        <v/>
      </c>
      <c r="O14" s="10">
        <f>IF($B14="New hire",CEILING($M14*Settings!$B$7,1),"")</f>
        <v/>
      </c>
      <c r="P14" s="10">
        <f>IF($B14="New hire",CEILING($M14*Settings!$B$8,1),"")</f>
        <v/>
      </c>
      <c r="Q14" s="10">
        <f>IF($B14="New hire",CEILING($M14*Settings!$B$9,1),"")</f>
        <v/>
      </c>
      <c r="R14" s="10">
        <f>IF($B14="New hire",CEILING($M14*Settings!$B$10,1),"")</f>
        <v/>
      </c>
      <c r="S14" s="13">
        <f>IF($C14&gt;0,"To hit "&amp;$C14&amp;" admissions this month, plan for "&amp;TEXT(ROUNDUP($L14,0),"0")&amp;" referral conversations this month. That is "&amp;TEXT($M14,"0")&amp;" per week and "&amp;TEXT($N14,"0")&amp;" per day. This includes a buffer of "&amp;TEXT($K14,"0")&amp;" extra conversations. Rate used: "&amp;$I14&amp;".","")</f>
        <v/>
      </c>
      <c r="T14" s="13">
        <f>IF($B14="New hire","New hire ramp plan based on the steady state weekly target of "&amp;TEXT($M14,"0")&amp;" conversations per week. Week 1: "&amp;TEXT($O14,"0")&amp;". Week 2: "&amp;TEXT($P14,"0")&amp;". Week 3: "&amp;TEXT($Q14,"0")&amp;". Week 4: "&amp;TEXT($R14,"0")&amp;".","")</f>
        <v/>
      </c>
    </row>
    <row r="15">
      <c r="A15" s="8" t="n"/>
      <c r="B15" s="8" t="n"/>
      <c r="C15" s="9" t="n"/>
      <c r="D15" s="10">
        <f>Settings!$B$3</f>
        <v/>
      </c>
      <c r="E15" s="9" t="n"/>
      <c r="F15" s="9" t="n"/>
      <c r="G15" s="10">
        <f>Settings!$B$5</f>
        <v/>
      </c>
      <c r="H15" s="11">
        <f>IF($B15="New hire",Settings!$B$6,IF($E15&gt;0,$F15/$E15,Settings!$B$6))</f>
        <v/>
      </c>
      <c r="I15" s="12">
        <f>IF($B15="New hire","Baseline",IF($E15&gt;0,"Personal","Baseline"))</f>
        <v/>
      </c>
      <c r="J15" s="10">
        <f>IF($C15&gt;0,$C15*$H15,"")</f>
        <v/>
      </c>
      <c r="K15" s="10">
        <f>IF($C15&gt;0,$G15*$C15,"")</f>
        <v/>
      </c>
      <c r="L15" s="10">
        <f>IF($C15&gt;0,$J15+$K15,"")</f>
        <v/>
      </c>
      <c r="M15" s="10">
        <f>IF($L15&gt;0,CEILING($L15/($D15/Settings!$B$4),1),"")</f>
        <v/>
      </c>
      <c r="N15" s="10">
        <f>IF($L15&gt;0,CEILING($L15/$D15,1),"")</f>
        <v/>
      </c>
      <c r="O15" s="10">
        <f>IF($B15="New hire",CEILING($M15*Settings!$B$7,1),"")</f>
        <v/>
      </c>
      <c r="P15" s="10">
        <f>IF($B15="New hire",CEILING($M15*Settings!$B$8,1),"")</f>
        <v/>
      </c>
      <c r="Q15" s="10">
        <f>IF($B15="New hire",CEILING($M15*Settings!$B$9,1),"")</f>
        <v/>
      </c>
      <c r="R15" s="10">
        <f>IF($B15="New hire",CEILING($M15*Settings!$B$10,1),"")</f>
        <v/>
      </c>
      <c r="S15" s="13">
        <f>IF($C15&gt;0,"To hit "&amp;$C15&amp;" admissions this month, plan for "&amp;TEXT(ROUNDUP($L15,0),"0")&amp;" referral conversations this month. That is "&amp;TEXT($M15,"0")&amp;" per week and "&amp;TEXT($N15,"0")&amp;" per day. This includes a buffer of "&amp;TEXT($K15,"0")&amp;" extra conversations. Rate used: "&amp;$I15&amp;".","")</f>
        <v/>
      </c>
      <c r="T15" s="13">
        <f>IF($B15="New hire","New hire ramp plan based on the steady state weekly target of "&amp;TEXT($M15,"0")&amp;" conversations per week. Week 1: "&amp;TEXT($O15,"0")&amp;". Week 2: "&amp;TEXT($P15,"0")&amp;". Week 3: "&amp;TEXT($Q15,"0")&amp;". Week 4: "&amp;TEXT($R15,"0")&amp;".","")</f>
        <v/>
      </c>
    </row>
    <row r="16">
      <c r="A16" s="8" t="n"/>
      <c r="B16" s="8" t="n"/>
      <c r="C16" s="9" t="n"/>
      <c r="D16" s="10">
        <f>Settings!$B$3</f>
        <v/>
      </c>
      <c r="E16" s="9" t="n"/>
      <c r="F16" s="9" t="n"/>
      <c r="G16" s="10">
        <f>Settings!$B$5</f>
        <v/>
      </c>
      <c r="H16" s="11">
        <f>IF($B16="New hire",Settings!$B$6,IF($E16&gt;0,$F16/$E16,Settings!$B$6))</f>
        <v/>
      </c>
      <c r="I16" s="12">
        <f>IF($B16="New hire","Baseline",IF($E16&gt;0,"Personal","Baseline"))</f>
        <v/>
      </c>
      <c r="J16" s="10">
        <f>IF($C16&gt;0,$C16*$H16,"")</f>
        <v/>
      </c>
      <c r="K16" s="10">
        <f>IF($C16&gt;0,$G16*$C16,"")</f>
        <v/>
      </c>
      <c r="L16" s="10">
        <f>IF($C16&gt;0,$J16+$K16,"")</f>
        <v/>
      </c>
      <c r="M16" s="10">
        <f>IF($L16&gt;0,CEILING($L16/($D16/Settings!$B$4),1),"")</f>
        <v/>
      </c>
      <c r="N16" s="10">
        <f>IF($L16&gt;0,CEILING($L16/$D16,1),"")</f>
        <v/>
      </c>
      <c r="O16" s="10">
        <f>IF($B16="New hire",CEILING($M16*Settings!$B$7,1),"")</f>
        <v/>
      </c>
      <c r="P16" s="10">
        <f>IF($B16="New hire",CEILING($M16*Settings!$B$8,1),"")</f>
        <v/>
      </c>
      <c r="Q16" s="10">
        <f>IF($B16="New hire",CEILING($M16*Settings!$B$9,1),"")</f>
        <v/>
      </c>
      <c r="R16" s="10">
        <f>IF($B16="New hire",CEILING($M16*Settings!$B$10,1),"")</f>
        <v/>
      </c>
      <c r="S16" s="13">
        <f>IF($C16&gt;0,"To hit "&amp;$C16&amp;" admissions this month, plan for "&amp;TEXT(ROUNDUP($L16,0),"0")&amp;" referral conversations this month. That is "&amp;TEXT($M16,"0")&amp;" per week and "&amp;TEXT($N16,"0")&amp;" per day. This includes a buffer of "&amp;TEXT($K16,"0")&amp;" extra conversations. Rate used: "&amp;$I16&amp;".","")</f>
        <v/>
      </c>
      <c r="T16" s="13">
        <f>IF($B16="New hire","New hire ramp plan based on the steady state weekly target of "&amp;TEXT($M16,"0")&amp;" conversations per week. Week 1: "&amp;TEXT($O16,"0")&amp;". Week 2: "&amp;TEXT($P16,"0")&amp;". Week 3: "&amp;TEXT($Q16,"0")&amp;". Week 4: "&amp;TEXT($R16,"0")&amp;".","")</f>
        <v/>
      </c>
    </row>
    <row r="17">
      <c r="A17" s="8" t="n"/>
      <c r="B17" s="8" t="n"/>
      <c r="C17" s="9" t="n"/>
      <c r="D17" s="10">
        <f>Settings!$B$3</f>
        <v/>
      </c>
      <c r="E17" s="9" t="n"/>
      <c r="F17" s="9" t="n"/>
      <c r="G17" s="10">
        <f>Settings!$B$5</f>
        <v/>
      </c>
      <c r="H17" s="11">
        <f>IF($B17="New hire",Settings!$B$6,IF($E17&gt;0,$F17/$E17,Settings!$B$6))</f>
        <v/>
      </c>
      <c r="I17" s="12">
        <f>IF($B17="New hire","Baseline",IF($E17&gt;0,"Personal","Baseline"))</f>
        <v/>
      </c>
      <c r="J17" s="10">
        <f>IF($C17&gt;0,$C17*$H17,"")</f>
        <v/>
      </c>
      <c r="K17" s="10">
        <f>IF($C17&gt;0,$G17*$C17,"")</f>
        <v/>
      </c>
      <c r="L17" s="10">
        <f>IF($C17&gt;0,$J17+$K17,"")</f>
        <v/>
      </c>
      <c r="M17" s="10">
        <f>IF($L17&gt;0,CEILING($L17/($D17/Settings!$B$4),1),"")</f>
        <v/>
      </c>
      <c r="N17" s="10">
        <f>IF($L17&gt;0,CEILING($L17/$D17,1),"")</f>
        <v/>
      </c>
      <c r="O17" s="10">
        <f>IF($B17="New hire",CEILING($M17*Settings!$B$7,1),"")</f>
        <v/>
      </c>
      <c r="P17" s="10">
        <f>IF($B17="New hire",CEILING($M17*Settings!$B$8,1),"")</f>
        <v/>
      </c>
      <c r="Q17" s="10">
        <f>IF($B17="New hire",CEILING($M17*Settings!$B$9,1),"")</f>
        <v/>
      </c>
      <c r="R17" s="10">
        <f>IF($B17="New hire",CEILING($M17*Settings!$B$10,1),"")</f>
        <v/>
      </c>
      <c r="S17" s="13">
        <f>IF($C17&gt;0,"To hit "&amp;$C17&amp;" admissions this month, plan for "&amp;TEXT(ROUNDUP($L17,0),"0")&amp;" referral conversations this month. That is "&amp;TEXT($M17,"0")&amp;" per week and "&amp;TEXT($N17,"0")&amp;" per day. This includes a buffer of "&amp;TEXT($K17,"0")&amp;" extra conversations. Rate used: "&amp;$I17&amp;".","")</f>
        <v/>
      </c>
      <c r="T17" s="13">
        <f>IF($B17="New hire","New hire ramp plan based on the steady state weekly target of "&amp;TEXT($M17,"0")&amp;" conversations per week. Week 1: "&amp;TEXT($O17,"0")&amp;". Week 2: "&amp;TEXT($P17,"0")&amp;". Week 3: "&amp;TEXT($Q17,"0")&amp;". Week 4: "&amp;TEXT($R17,"0")&amp;".","")</f>
        <v/>
      </c>
    </row>
    <row r="18">
      <c r="A18" s="8" t="n"/>
      <c r="B18" s="8" t="n"/>
      <c r="C18" s="9" t="n"/>
      <c r="D18" s="10">
        <f>Settings!$B$3</f>
        <v/>
      </c>
      <c r="E18" s="9" t="n"/>
      <c r="F18" s="9" t="n"/>
      <c r="G18" s="10">
        <f>Settings!$B$5</f>
        <v/>
      </c>
      <c r="H18" s="11">
        <f>IF($B18="New hire",Settings!$B$6,IF($E18&gt;0,$F18/$E18,Settings!$B$6))</f>
        <v/>
      </c>
      <c r="I18" s="12">
        <f>IF($B18="New hire","Baseline",IF($E18&gt;0,"Personal","Baseline"))</f>
        <v/>
      </c>
      <c r="J18" s="10">
        <f>IF($C18&gt;0,$C18*$H18,"")</f>
        <v/>
      </c>
      <c r="K18" s="10">
        <f>IF($C18&gt;0,$G18*$C18,"")</f>
        <v/>
      </c>
      <c r="L18" s="10">
        <f>IF($C18&gt;0,$J18+$K18,"")</f>
        <v/>
      </c>
      <c r="M18" s="10">
        <f>IF($L18&gt;0,CEILING($L18/($D18/Settings!$B$4),1),"")</f>
        <v/>
      </c>
      <c r="N18" s="10">
        <f>IF($L18&gt;0,CEILING($L18/$D18,1),"")</f>
        <v/>
      </c>
      <c r="O18" s="10">
        <f>IF($B18="New hire",CEILING($M18*Settings!$B$7,1),"")</f>
        <v/>
      </c>
      <c r="P18" s="10">
        <f>IF($B18="New hire",CEILING($M18*Settings!$B$8,1),"")</f>
        <v/>
      </c>
      <c r="Q18" s="10">
        <f>IF($B18="New hire",CEILING($M18*Settings!$B$9,1),"")</f>
        <v/>
      </c>
      <c r="R18" s="10">
        <f>IF($B18="New hire",CEILING($M18*Settings!$B$10,1),"")</f>
        <v/>
      </c>
      <c r="S18" s="13">
        <f>IF($C18&gt;0,"To hit "&amp;$C18&amp;" admissions this month, plan for "&amp;TEXT(ROUNDUP($L18,0),"0")&amp;" referral conversations this month. That is "&amp;TEXT($M18,"0")&amp;" per week and "&amp;TEXT($N18,"0")&amp;" per day. This includes a buffer of "&amp;TEXT($K18,"0")&amp;" extra conversations. Rate used: "&amp;$I18&amp;".","")</f>
        <v/>
      </c>
      <c r="T18" s="13">
        <f>IF($B18="New hire","New hire ramp plan based on the steady state weekly target of "&amp;TEXT($M18,"0")&amp;" conversations per week. Week 1: "&amp;TEXT($O18,"0")&amp;". Week 2: "&amp;TEXT($P18,"0")&amp;". Week 3: "&amp;TEXT($Q18,"0")&amp;". Week 4: "&amp;TEXT($R18,"0")&amp;".","")</f>
        <v/>
      </c>
    </row>
    <row r="19">
      <c r="A19" s="8" t="n"/>
      <c r="B19" s="8" t="n"/>
      <c r="C19" s="9" t="n"/>
      <c r="D19" s="10">
        <f>Settings!$B$3</f>
        <v/>
      </c>
      <c r="E19" s="9" t="n"/>
      <c r="F19" s="9" t="n"/>
      <c r="G19" s="10">
        <f>Settings!$B$5</f>
        <v/>
      </c>
      <c r="H19" s="11">
        <f>IF($B19="New hire",Settings!$B$6,IF($E19&gt;0,$F19/$E19,Settings!$B$6))</f>
        <v/>
      </c>
      <c r="I19" s="12">
        <f>IF($B19="New hire","Baseline",IF($E19&gt;0,"Personal","Baseline"))</f>
        <v/>
      </c>
      <c r="J19" s="10">
        <f>IF($C19&gt;0,$C19*$H19,"")</f>
        <v/>
      </c>
      <c r="K19" s="10">
        <f>IF($C19&gt;0,$G19*$C19,"")</f>
        <v/>
      </c>
      <c r="L19" s="10">
        <f>IF($C19&gt;0,$J19+$K19,"")</f>
        <v/>
      </c>
      <c r="M19" s="10">
        <f>IF($L19&gt;0,CEILING($L19/($D19/Settings!$B$4),1),"")</f>
        <v/>
      </c>
      <c r="N19" s="10">
        <f>IF($L19&gt;0,CEILING($L19/$D19,1),"")</f>
        <v/>
      </c>
      <c r="O19" s="10">
        <f>IF($B19="New hire",CEILING($M19*Settings!$B$7,1),"")</f>
        <v/>
      </c>
      <c r="P19" s="10">
        <f>IF($B19="New hire",CEILING($M19*Settings!$B$8,1),"")</f>
        <v/>
      </c>
      <c r="Q19" s="10">
        <f>IF($B19="New hire",CEILING($M19*Settings!$B$9,1),"")</f>
        <v/>
      </c>
      <c r="R19" s="10">
        <f>IF($B19="New hire",CEILING($M19*Settings!$B$10,1),"")</f>
        <v/>
      </c>
      <c r="S19" s="13">
        <f>IF($C19&gt;0,"To hit "&amp;$C19&amp;" admissions this month, plan for "&amp;TEXT(ROUNDUP($L19,0),"0")&amp;" referral conversations this month. That is "&amp;TEXT($M19,"0")&amp;" per week and "&amp;TEXT($N19,"0")&amp;" per day. This includes a buffer of "&amp;TEXT($K19,"0")&amp;" extra conversations. Rate used: "&amp;$I19&amp;".","")</f>
        <v/>
      </c>
      <c r="T19" s="13">
        <f>IF($B19="New hire","New hire ramp plan based on the steady state weekly target of "&amp;TEXT($M19,"0")&amp;" conversations per week. Week 1: "&amp;TEXT($O19,"0")&amp;". Week 2: "&amp;TEXT($P19,"0")&amp;". Week 3: "&amp;TEXT($Q19,"0")&amp;". Week 4: "&amp;TEXT($R19,"0")&amp;".","")</f>
        <v/>
      </c>
    </row>
    <row r="20">
      <c r="A20" s="8" t="n"/>
      <c r="B20" s="8" t="n"/>
      <c r="C20" s="9" t="n"/>
      <c r="D20" s="10">
        <f>Settings!$B$3</f>
        <v/>
      </c>
      <c r="E20" s="9" t="n"/>
      <c r="F20" s="9" t="n"/>
      <c r="G20" s="10">
        <f>Settings!$B$5</f>
        <v/>
      </c>
      <c r="H20" s="11">
        <f>IF($B20="New hire",Settings!$B$6,IF($E20&gt;0,$F20/$E20,Settings!$B$6))</f>
        <v/>
      </c>
      <c r="I20" s="12">
        <f>IF($B20="New hire","Baseline",IF($E20&gt;0,"Personal","Baseline"))</f>
        <v/>
      </c>
      <c r="J20" s="10">
        <f>IF($C20&gt;0,$C20*$H20,"")</f>
        <v/>
      </c>
      <c r="K20" s="10">
        <f>IF($C20&gt;0,$G20*$C20,"")</f>
        <v/>
      </c>
      <c r="L20" s="10">
        <f>IF($C20&gt;0,$J20+$K20,"")</f>
        <v/>
      </c>
      <c r="M20" s="10">
        <f>IF($L20&gt;0,CEILING($L20/($D20/Settings!$B$4),1),"")</f>
        <v/>
      </c>
      <c r="N20" s="10">
        <f>IF($L20&gt;0,CEILING($L20/$D20,1),"")</f>
        <v/>
      </c>
      <c r="O20" s="10">
        <f>IF($B20="New hire",CEILING($M20*Settings!$B$7,1),"")</f>
        <v/>
      </c>
      <c r="P20" s="10">
        <f>IF($B20="New hire",CEILING($M20*Settings!$B$8,1),"")</f>
        <v/>
      </c>
      <c r="Q20" s="10">
        <f>IF($B20="New hire",CEILING($M20*Settings!$B$9,1),"")</f>
        <v/>
      </c>
      <c r="R20" s="10">
        <f>IF($B20="New hire",CEILING($M20*Settings!$B$10,1),"")</f>
        <v/>
      </c>
      <c r="S20" s="13">
        <f>IF($C20&gt;0,"To hit "&amp;$C20&amp;" admissions this month, plan for "&amp;TEXT(ROUNDUP($L20,0),"0")&amp;" referral conversations this month. That is "&amp;TEXT($M20,"0")&amp;" per week and "&amp;TEXT($N20,"0")&amp;" per day. This includes a buffer of "&amp;TEXT($K20,"0")&amp;" extra conversations. Rate used: "&amp;$I20&amp;".","")</f>
        <v/>
      </c>
      <c r="T20" s="13">
        <f>IF($B20="New hire","New hire ramp plan based on the steady state weekly target of "&amp;TEXT($M20,"0")&amp;" conversations per week. Week 1: "&amp;TEXT($O20,"0")&amp;". Week 2: "&amp;TEXT($P20,"0")&amp;". Week 3: "&amp;TEXT($Q20,"0")&amp;". Week 4: "&amp;TEXT($R20,"0")&amp;".","")</f>
        <v/>
      </c>
    </row>
    <row r="21">
      <c r="A21" s="8" t="n"/>
      <c r="B21" s="8" t="n"/>
      <c r="C21" s="9" t="n"/>
      <c r="D21" s="10">
        <f>Settings!$B$3</f>
        <v/>
      </c>
      <c r="E21" s="9" t="n"/>
      <c r="F21" s="9" t="n"/>
      <c r="G21" s="10">
        <f>Settings!$B$5</f>
        <v/>
      </c>
      <c r="H21" s="11">
        <f>IF($B21="New hire",Settings!$B$6,IF($E21&gt;0,$F21/$E21,Settings!$B$6))</f>
        <v/>
      </c>
      <c r="I21" s="12">
        <f>IF($B21="New hire","Baseline",IF($E21&gt;0,"Personal","Baseline"))</f>
        <v/>
      </c>
      <c r="J21" s="10">
        <f>IF($C21&gt;0,$C21*$H21,"")</f>
        <v/>
      </c>
      <c r="K21" s="10">
        <f>IF($C21&gt;0,$G21*$C21,"")</f>
        <v/>
      </c>
      <c r="L21" s="10">
        <f>IF($C21&gt;0,$J21+$K21,"")</f>
        <v/>
      </c>
      <c r="M21" s="10">
        <f>IF($L21&gt;0,CEILING($L21/($D21/Settings!$B$4),1),"")</f>
        <v/>
      </c>
      <c r="N21" s="10">
        <f>IF($L21&gt;0,CEILING($L21/$D21,1),"")</f>
        <v/>
      </c>
      <c r="O21" s="10">
        <f>IF($B21="New hire",CEILING($M21*Settings!$B$7,1),"")</f>
        <v/>
      </c>
      <c r="P21" s="10">
        <f>IF($B21="New hire",CEILING($M21*Settings!$B$8,1),"")</f>
        <v/>
      </c>
      <c r="Q21" s="10">
        <f>IF($B21="New hire",CEILING($M21*Settings!$B$9,1),"")</f>
        <v/>
      </c>
      <c r="R21" s="10">
        <f>IF($B21="New hire",CEILING($M21*Settings!$B$10,1),"")</f>
        <v/>
      </c>
      <c r="S21" s="13">
        <f>IF($C21&gt;0,"To hit "&amp;$C21&amp;" admissions this month, plan for "&amp;TEXT(ROUNDUP($L21,0),"0")&amp;" referral conversations this month. That is "&amp;TEXT($M21,"0")&amp;" per week and "&amp;TEXT($N21,"0")&amp;" per day. This includes a buffer of "&amp;TEXT($K21,"0")&amp;" extra conversations. Rate used: "&amp;$I21&amp;".","")</f>
        <v/>
      </c>
      <c r="T21" s="13">
        <f>IF($B21="New hire","New hire ramp plan based on the steady state weekly target of "&amp;TEXT($M21,"0")&amp;" conversations per week. Week 1: "&amp;TEXT($O21,"0")&amp;". Week 2: "&amp;TEXT($P21,"0")&amp;". Week 3: "&amp;TEXT($Q21,"0")&amp;". Week 4: "&amp;TEXT($R21,"0")&amp;".","")</f>
        <v/>
      </c>
    </row>
    <row r="22">
      <c r="A22" s="8" t="n"/>
      <c r="B22" s="8" t="n"/>
      <c r="C22" s="9" t="n"/>
      <c r="D22" s="10">
        <f>Settings!$B$3</f>
        <v/>
      </c>
      <c r="E22" s="9" t="n"/>
      <c r="F22" s="9" t="n"/>
      <c r="G22" s="10">
        <f>Settings!$B$5</f>
        <v/>
      </c>
      <c r="H22" s="11">
        <f>IF($B22="New hire",Settings!$B$6,IF($E22&gt;0,$F22/$E22,Settings!$B$6))</f>
        <v/>
      </c>
      <c r="I22" s="12">
        <f>IF($B22="New hire","Baseline",IF($E22&gt;0,"Personal","Baseline"))</f>
        <v/>
      </c>
      <c r="J22" s="10">
        <f>IF($C22&gt;0,$C22*$H22,"")</f>
        <v/>
      </c>
      <c r="K22" s="10">
        <f>IF($C22&gt;0,$G22*$C22,"")</f>
        <v/>
      </c>
      <c r="L22" s="10">
        <f>IF($C22&gt;0,$J22+$K22,"")</f>
        <v/>
      </c>
      <c r="M22" s="10">
        <f>IF($L22&gt;0,CEILING($L22/($D22/Settings!$B$4),1),"")</f>
        <v/>
      </c>
      <c r="N22" s="10">
        <f>IF($L22&gt;0,CEILING($L22/$D22,1),"")</f>
        <v/>
      </c>
      <c r="O22" s="10">
        <f>IF($B22="New hire",CEILING($M22*Settings!$B$7,1),"")</f>
        <v/>
      </c>
      <c r="P22" s="10">
        <f>IF($B22="New hire",CEILING($M22*Settings!$B$8,1),"")</f>
        <v/>
      </c>
      <c r="Q22" s="10">
        <f>IF($B22="New hire",CEILING($M22*Settings!$B$9,1),"")</f>
        <v/>
      </c>
      <c r="R22" s="10">
        <f>IF($B22="New hire",CEILING($M22*Settings!$B$10,1),"")</f>
        <v/>
      </c>
      <c r="S22" s="13">
        <f>IF($C22&gt;0,"To hit "&amp;$C22&amp;" admissions this month, plan for "&amp;TEXT(ROUNDUP($L22,0),"0")&amp;" referral conversations this month. That is "&amp;TEXT($M22,"0")&amp;" per week and "&amp;TEXT($N22,"0")&amp;" per day. This includes a buffer of "&amp;TEXT($K22,"0")&amp;" extra conversations. Rate used: "&amp;$I22&amp;".","")</f>
        <v/>
      </c>
      <c r="T22" s="13">
        <f>IF($B22="New hire","New hire ramp plan based on the steady state weekly target of "&amp;TEXT($M22,"0")&amp;" conversations per week. Week 1: "&amp;TEXT($O22,"0")&amp;". Week 2: "&amp;TEXT($P22,"0")&amp;". Week 3: "&amp;TEXT($Q22,"0")&amp;". Week 4: "&amp;TEXT($R22,"0")&amp;".","")</f>
        <v/>
      </c>
    </row>
    <row r="23">
      <c r="A23" s="8" t="n"/>
      <c r="B23" s="8" t="n"/>
      <c r="C23" s="9" t="n"/>
      <c r="D23" s="10">
        <f>Settings!$B$3</f>
        <v/>
      </c>
      <c r="E23" s="9" t="n"/>
      <c r="F23" s="9" t="n"/>
      <c r="G23" s="10">
        <f>Settings!$B$5</f>
        <v/>
      </c>
      <c r="H23" s="11">
        <f>IF($B23="New hire",Settings!$B$6,IF($E23&gt;0,$F23/$E23,Settings!$B$6))</f>
        <v/>
      </c>
      <c r="I23" s="12">
        <f>IF($B23="New hire","Baseline",IF($E23&gt;0,"Personal","Baseline"))</f>
        <v/>
      </c>
      <c r="J23" s="10">
        <f>IF($C23&gt;0,$C23*$H23,"")</f>
        <v/>
      </c>
      <c r="K23" s="10">
        <f>IF($C23&gt;0,$G23*$C23,"")</f>
        <v/>
      </c>
      <c r="L23" s="10">
        <f>IF($C23&gt;0,$J23+$K23,"")</f>
        <v/>
      </c>
      <c r="M23" s="10">
        <f>IF($L23&gt;0,CEILING($L23/($D23/Settings!$B$4),1),"")</f>
        <v/>
      </c>
      <c r="N23" s="10">
        <f>IF($L23&gt;0,CEILING($L23/$D23,1),"")</f>
        <v/>
      </c>
      <c r="O23" s="10">
        <f>IF($B23="New hire",CEILING($M23*Settings!$B$7,1),"")</f>
        <v/>
      </c>
      <c r="P23" s="10">
        <f>IF($B23="New hire",CEILING($M23*Settings!$B$8,1),"")</f>
        <v/>
      </c>
      <c r="Q23" s="10">
        <f>IF($B23="New hire",CEILING($M23*Settings!$B$9,1),"")</f>
        <v/>
      </c>
      <c r="R23" s="10">
        <f>IF($B23="New hire",CEILING($M23*Settings!$B$10,1),"")</f>
        <v/>
      </c>
      <c r="S23" s="13">
        <f>IF($C23&gt;0,"To hit "&amp;$C23&amp;" admissions this month, plan for "&amp;TEXT(ROUNDUP($L23,0),"0")&amp;" referral conversations this month. That is "&amp;TEXT($M23,"0")&amp;" per week and "&amp;TEXT($N23,"0")&amp;" per day. This includes a buffer of "&amp;TEXT($K23,"0")&amp;" extra conversations. Rate used: "&amp;$I23&amp;".","")</f>
        <v/>
      </c>
      <c r="T23" s="13">
        <f>IF($B23="New hire","New hire ramp plan based on the steady state weekly target of "&amp;TEXT($M23,"0")&amp;" conversations per week. Week 1: "&amp;TEXT($O23,"0")&amp;". Week 2: "&amp;TEXT($P23,"0")&amp;". Week 3: "&amp;TEXT($Q23,"0")&amp;". Week 4: "&amp;TEXT($R23,"0")&amp;".","")</f>
        <v/>
      </c>
    </row>
    <row r="24">
      <c r="A24" s="8" t="n"/>
      <c r="B24" s="8" t="n"/>
      <c r="C24" s="9" t="n"/>
      <c r="D24" s="10">
        <f>Settings!$B$3</f>
        <v/>
      </c>
      <c r="E24" s="9" t="n"/>
      <c r="F24" s="9" t="n"/>
      <c r="G24" s="10">
        <f>Settings!$B$5</f>
        <v/>
      </c>
      <c r="H24" s="11">
        <f>IF($B24="New hire",Settings!$B$6,IF($E24&gt;0,$F24/$E24,Settings!$B$6))</f>
        <v/>
      </c>
      <c r="I24" s="12">
        <f>IF($B24="New hire","Baseline",IF($E24&gt;0,"Personal","Baseline"))</f>
        <v/>
      </c>
      <c r="J24" s="10">
        <f>IF($C24&gt;0,$C24*$H24,"")</f>
        <v/>
      </c>
      <c r="K24" s="10">
        <f>IF($C24&gt;0,$G24*$C24,"")</f>
        <v/>
      </c>
      <c r="L24" s="10">
        <f>IF($C24&gt;0,$J24+$K24,"")</f>
        <v/>
      </c>
      <c r="M24" s="10">
        <f>IF($L24&gt;0,CEILING($L24/($D24/Settings!$B$4),1),"")</f>
        <v/>
      </c>
      <c r="N24" s="10">
        <f>IF($L24&gt;0,CEILING($L24/$D24,1),"")</f>
        <v/>
      </c>
      <c r="O24" s="10">
        <f>IF($B24="New hire",CEILING($M24*Settings!$B$7,1),"")</f>
        <v/>
      </c>
      <c r="P24" s="10">
        <f>IF($B24="New hire",CEILING($M24*Settings!$B$8,1),"")</f>
        <v/>
      </c>
      <c r="Q24" s="10">
        <f>IF($B24="New hire",CEILING($M24*Settings!$B$9,1),"")</f>
        <v/>
      </c>
      <c r="R24" s="10">
        <f>IF($B24="New hire",CEILING($M24*Settings!$B$10,1),"")</f>
        <v/>
      </c>
      <c r="S24" s="13">
        <f>IF($C24&gt;0,"To hit "&amp;$C24&amp;" admissions this month, plan for "&amp;TEXT(ROUNDUP($L24,0),"0")&amp;" referral conversations this month. That is "&amp;TEXT($M24,"0")&amp;" per week and "&amp;TEXT($N24,"0")&amp;" per day. This includes a buffer of "&amp;TEXT($K24,"0")&amp;" extra conversations. Rate used: "&amp;$I24&amp;".","")</f>
        <v/>
      </c>
      <c r="T24" s="13">
        <f>IF($B24="New hire","New hire ramp plan based on the steady state weekly target of "&amp;TEXT($M24,"0")&amp;" conversations per week. Week 1: "&amp;TEXT($O24,"0")&amp;". Week 2: "&amp;TEXT($P24,"0")&amp;". Week 3: "&amp;TEXT($Q24,"0")&amp;". Week 4: "&amp;TEXT($R24,"0")&amp;".","")</f>
        <v/>
      </c>
    </row>
    <row r="25">
      <c r="A25" s="8" t="n"/>
      <c r="B25" s="8" t="n"/>
      <c r="C25" s="9" t="n"/>
      <c r="D25" s="10">
        <f>Settings!$B$3</f>
        <v/>
      </c>
      <c r="E25" s="9" t="n"/>
      <c r="F25" s="9" t="n"/>
      <c r="G25" s="10">
        <f>Settings!$B$5</f>
        <v/>
      </c>
      <c r="H25" s="11">
        <f>IF($B25="New hire",Settings!$B$6,IF($E25&gt;0,$F25/$E25,Settings!$B$6))</f>
        <v/>
      </c>
      <c r="I25" s="12">
        <f>IF($B25="New hire","Baseline",IF($E25&gt;0,"Personal","Baseline"))</f>
        <v/>
      </c>
      <c r="J25" s="10">
        <f>IF($C25&gt;0,$C25*$H25,"")</f>
        <v/>
      </c>
      <c r="K25" s="10">
        <f>IF($C25&gt;0,$G25*$C25,"")</f>
        <v/>
      </c>
      <c r="L25" s="10">
        <f>IF($C25&gt;0,$J25+$K25,"")</f>
        <v/>
      </c>
      <c r="M25" s="10">
        <f>IF($L25&gt;0,CEILING($L25/($D25/Settings!$B$4),1),"")</f>
        <v/>
      </c>
      <c r="N25" s="10">
        <f>IF($L25&gt;0,CEILING($L25/$D25,1),"")</f>
        <v/>
      </c>
      <c r="O25" s="10">
        <f>IF($B25="New hire",CEILING($M25*Settings!$B$7,1),"")</f>
        <v/>
      </c>
      <c r="P25" s="10">
        <f>IF($B25="New hire",CEILING($M25*Settings!$B$8,1),"")</f>
        <v/>
      </c>
      <c r="Q25" s="10">
        <f>IF($B25="New hire",CEILING($M25*Settings!$B$9,1),"")</f>
        <v/>
      </c>
      <c r="R25" s="10">
        <f>IF($B25="New hire",CEILING($M25*Settings!$B$10,1),"")</f>
        <v/>
      </c>
      <c r="S25" s="13">
        <f>IF($C25&gt;0,"To hit "&amp;$C25&amp;" admissions this month, plan for "&amp;TEXT(ROUNDUP($L25,0),"0")&amp;" referral conversations this month. That is "&amp;TEXT($M25,"0")&amp;" per week and "&amp;TEXT($N25,"0")&amp;" per day. This includes a buffer of "&amp;TEXT($K25,"0")&amp;" extra conversations. Rate used: "&amp;$I25&amp;".","")</f>
        <v/>
      </c>
      <c r="T25" s="13">
        <f>IF($B25="New hire","New hire ramp plan based on the steady state weekly target of "&amp;TEXT($M25,"0")&amp;" conversations per week. Week 1: "&amp;TEXT($O25,"0")&amp;". Week 2: "&amp;TEXT($P25,"0")&amp;". Week 3: "&amp;TEXT($Q25,"0")&amp;". Week 4: "&amp;TEXT($R25,"0")&amp;".","")</f>
        <v/>
      </c>
    </row>
    <row r="26">
      <c r="A26" s="8" t="n"/>
      <c r="B26" s="8" t="n"/>
      <c r="C26" s="9" t="n"/>
      <c r="D26" s="10">
        <f>Settings!$B$3</f>
        <v/>
      </c>
      <c r="E26" s="9" t="n"/>
      <c r="F26" s="9" t="n"/>
      <c r="G26" s="10">
        <f>Settings!$B$5</f>
        <v/>
      </c>
      <c r="H26" s="11">
        <f>IF($B26="New hire",Settings!$B$6,IF($E26&gt;0,$F26/$E26,Settings!$B$6))</f>
        <v/>
      </c>
      <c r="I26" s="12">
        <f>IF($B26="New hire","Baseline",IF($E26&gt;0,"Personal","Baseline"))</f>
        <v/>
      </c>
      <c r="J26" s="10">
        <f>IF($C26&gt;0,$C26*$H26,"")</f>
        <v/>
      </c>
      <c r="K26" s="10">
        <f>IF($C26&gt;0,$G26*$C26,"")</f>
        <v/>
      </c>
      <c r="L26" s="10">
        <f>IF($C26&gt;0,$J26+$K26,"")</f>
        <v/>
      </c>
      <c r="M26" s="10">
        <f>IF($L26&gt;0,CEILING($L26/($D26/Settings!$B$4),1),"")</f>
        <v/>
      </c>
      <c r="N26" s="10">
        <f>IF($L26&gt;0,CEILING($L26/$D26,1),"")</f>
        <v/>
      </c>
      <c r="O26" s="10">
        <f>IF($B26="New hire",CEILING($M26*Settings!$B$7,1),"")</f>
        <v/>
      </c>
      <c r="P26" s="10">
        <f>IF($B26="New hire",CEILING($M26*Settings!$B$8,1),"")</f>
        <v/>
      </c>
      <c r="Q26" s="10">
        <f>IF($B26="New hire",CEILING($M26*Settings!$B$9,1),"")</f>
        <v/>
      </c>
      <c r="R26" s="10">
        <f>IF($B26="New hire",CEILING($M26*Settings!$B$10,1),"")</f>
        <v/>
      </c>
      <c r="S26" s="13">
        <f>IF($C26&gt;0,"To hit "&amp;$C26&amp;" admissions this month, plan for "&amp;TEXT(ROUNDUP($L26,0),"0")&amp;" referral conversations this month. That is "&amp;TEXT($M26,"0")&amp;" per week and "&amp;TEXT($N26,"0")&amp;" per day. This includes a buffer of "&amp;TEXT($K26,"0")&amp;" extra conversations. Rate used: "&amp;$I26&amp;".","")</f>
        <v/>
      </c>
      <c r="T26" s="13">
        <f>IF($B26="New hire","New hire ramp plan based on the steady state weekly target of "&amp;TEXT($M26,"0")&amp;" conversations per week. Week 1: "&amp;TEXT($O26,"0")&amp;". Week 2: "&amp;TEXT($P26,"0")&amp;". Week 3: "&amp;TEXT($Q26,"0")&amp;". Week 4: "&amp;TEXT($R26,"0")&amp;".","")</f>
        <v/>
      </c>
    </row>
    <row r="27">
      <c r="A27" s="8" t="n"/>
      <c r="B27" s="8" t="n"/>
      <c r="C27" s="9" t="n"/>
      <c r="D27" s="10">
        <f>Settings!$B$3</f>
        <v/>
      </c>
      <c r="E27" s="9" t="n"/>
      <c r="F27" s="9" t="n"/>
      <c r="G27" s="10">
        <f>Settings!$B$5</f>
        <v/>
      </c>
      <c r="H27" s="11">
        <f>IF($B27="New hire",Settings!$B$6,IF($E27&gt;0,$F27/$E27,Settings!$B$6))</f>
        <v/>
      </c>
      <c r="I27" s="12">
        <f>IF($B27="New hire","Baseline",IF($E27&gt;0,"Personal","Baseline"))</f>
        <v/>
      </c>
      <c r="J27" s="10">
        <f>IF($C27&gt;0,$C27*$H27,"")</f>
        <v/>
      </c>
      <c r="K27" s="10">
        <f>IF($C27&gt;0,$G27*$C27,"")</f>
        <v/>
      </c>
      <c r="L27" s="10">
        <f>IF($C27&gt;0,$J27+$K27,"")</f>
        <v/>
      </c>
      <c r="M27" s="10">
        <f>IF($L27&gt;0,CEILING($L27/($D27/Settings!$B$4),1),"")</f>
        <v/>
      </c>
      <c r="N27" s="10">
        <f>IF($L27&gt;0,CEILING($L27/$D27,1),"")</f>
        <v/>
      </c>
      <c r="O27" s="10">
        <f>IF($B27="New hire",CEILING($M27*Settings!$B$7,1),"")</f>
        <v/>
      </c>
      <c r="P27" s="10">
        <f>IF($B27="New hire",CEILING($M27*Settings!$B$8,1),"")</f>
        <v/>
      </c>
      <c r="Q27" s="10">
        <f>IF($B27="New hire",CEILING($M27*Settings!$B$9,1),"")</f>
        <v/>
      </c>
      <c r="R27" s="10">
        <f>IF($B27="New hire",CEILING($M27*Settings!$B$10,1),"")</f>
        <v/>
      </c>
      <c r="S27" s="13">
        <f>IF($C27&gt;0,"To hit "&amp;$C27&amp;" admissions this month, plan for "&amp;TEXT(ROUNDUP($L27,0),"0")&amp;" referral conversations this month. That is "&amp;TEXT($M27,"0")&amp;" per week and "&amp;TEXT($N27,"0")&amp;" per day. This includes a buffer of "&amp;TEXT($K27,"0")&amp;" extra conversations. Rate used: "&amp;$I27&amp;".","")</f>
        <v/>
      </c>
      <c r="T27" s="13">
        <f>IF($B27="New hire","New hire ramp plan based on the steady state weekly target of "&amp;TEXT($M27,"0")&amp;" conversations per week. Week 1: "&amp;TEXT($O27,"0")&amp;". Week 2: "&amp;TEXT($P27,"0")&amp;". Week 3: "&amp;TEXT($Q27,"0")&amp;". Week 4: "&amp;TEXT($R27,"0")&amp;".","")</f>
        <v/>
      </c>
    </row>
    <row r="28">
      <c r="A28" s="8" t="n"/>
      <c r="B28" s="8" t="n"/>
      <c r="C28" s="9" t="n"/>
      <c r="D28" s="10">
        <f>Settings!$B$3</f>
        <v/>
      </c>
      <c r="E28" s="9" t="n"/>
      <c r="F28" s="9" t="n"/>
      <c r="G28" s="10">
        <f>Settings!$B$5</f>
        <v/>
      </c>
      <c r="H28" s="11">
        <f>IF($B28="New hire",Settings!$B$6,IF($E28&gt;0,$F28/$E28,Settings!$B$6))</f>
        <v/>
      </c>
      <c r="I28" s="12">
        <f>IF($B28="New hire","Baseline",IF($E28&gt;0,"Personal","Baseline"))</f>
        <v/>
      </c>
      <c r="J28" s="10">
        <f>IF($C28&gt;0,$C28*$H28,"")</f>
        <v/>
      </c>
      <c r="K28" s="10">
        <f>IF($C28&gt;0,$G28*$C28,"")</f>
        <v/>
      </c>
      <c r="L28" s="10">
        <f>IF($C28&gt;0,$J28+$K28,"")</f>
        <v/>
      </c>
      <c r="M28" s="10">
        <f>IF($L28&gt;0,CEILING($L28/($D28/Settings!$B$4),1),"")</f>
        <v/>
      </c>
      <c r="N28" s="10">
        <f>IF($L28&gt;0,CEILING($L28/$D28,1),"")</f>
        <v/>
      </c>
      <c r="O28" s="10">
        <f>IF($B28="New hire",CEILING($M28*Settings!$B$7,1),"")</f>
        <v/>
      </c>
      <c r="P28" s="10">
        <f>IF($B28="New hire",CEILING($M28*Settings!$B$8,1),"")</f>
        <v/>
      </c>
      <c r="Q28" s="10">
        <f>IF($B28="New hire",CEILING($M28*Settings!$B$9,1),"")</f>
        <v/>
      </c>
      <c r="R28" s="10">
        <f>IF($B28="New hire",CEILING($M28*Settings!$B$10,1),"")</f>
        <v/>
      </c>
      <c r="S28" s="13">
        <f>IF($C28&gt;0,"To hit "&amp;$C28&amp;" admissions this month, plan for "&amp;TEXT(ROUNDUP($L28,0),"0")&amp;" referral conversations this month. That is "&amp;TEXT($M28,"0")&amp;" per week and "&amp;TEXT($N28,"0")&amp;" per day. This includes a buffer of "&amp;TEXT($K28,"0")&amp;" extra conversations. Rate used: "&amp;$I28&amp;".","")</f>
        <v/>
      </c>
      <c r="T28" s="13">
        <f>IF($B28="New hire","New hire ramp plan based on the steady state weekly target of "&amp;TEXT($M28,"0")&amp;" conversations per week. Week 1: "&amp;TEXT($O28,"0")&amp;". Week 2: "&amp;TEXT($P28,"0")&amp;". Week 3: "&amp;TEXT($Q28,"0")&amp;". Week 4: "&amp;TEXT($R28,"0")&amp;".","")</f>
        <v/>
      </c>
    </row>
    <row r="29">
      <c r="A29" s="8" t="n"/>
      <c r="B29" s="8" t="n"/>
      <c r="C29" s="9" t="n"/>
      <c r="D29" s="10">
        <f>Settings!$B$3</f>
        <v/>
      </c>
      <c r="E29" s="9" t="n"/>
      <c r="F29" s="9" t="n"/>
      <c r="G29" s="10">
        <f>Settings!$B$5</f>
        <v/>
      </c>
      <c r="H29" s="11">
        <f>IF($B29="New hire",Settings!$B$6,IF($E29&gt;0,$F29/$E29,Settings!$B$6))</f>
        <v/>
      </c>
      <c r="I29" s="12">
        <f>IF($B29="New hire","Baseline",IF($E29&gt;0,"Personal","Baseline"))</f>
        <v/>
      </c>
      <c r="J29" s="10">
        <f>IF($C29&gt;0,$C29*$H29,"")</f>
        <v/>
      </c>
      <c r="K29" s="10">
        <f>IF($C29&gt;0,$G29*$C29,"")</f>
        <v/>
      </c>
      <c r="L29" s="10">
        <f>IF($C29&gt;0,$J29+$K29,"")</f>
        <v/>
      </c>
      <c r="M29" s="10">
        <f>IF($L29&gt;0,CEILING($L29/($D29/Settings!$B$4),1),"")</f>
        <v/>
      </c>
      <c r="N29" s="10">
        <f>IF($L29&gt;0,CEILING($L29/$D29,1),"")</f>
        <v/>
      </c>
      <c r="O29" s="10">
        <f>IF($B29="New hire",CEILING($M29*Settings!$B$7,1),"")</f>
        <v/>
      </c>
      <c r="P29" s="10">
        <f>IF($B29="New hire",CEILING($M29*Settings!$B$8,1),"")</f>
        <v/>
      </c>
      <c r="Q29" s="10">
        <f>IF($B29="New hire",CEILING($M29*Settings!$B$9,1),"")</f>
        <v/>
      </c>
      <c r="R29" s="10">
        <f>IF($B29="New hire",CEILING($M29*Settings!$B$10,1),"")</f>
        <v/>
      </c>
      <c r="S29" s="13">
        <f>IF($C29&gt;0,"To hit "&amp;$C29&amp;" admissions this month, plan for "&amp;TEXT(ROUNDUP($L29,0),"0")&amp;" referral conversations this month. That is "&amp;TEXT($M29,"0")&amp;" per week and "&amp;TEXT($N29,"0")&amp;" per day. This includes a buffer of "&amp;TEXT($K29,"0")&amp;" extra conversations. Rate used: "&amp;$I29&amp;".","")</f>
        <v/>
      </c>
      <c r="T29" s="13">
        <f>IF($B29="New hire","New hire ramp plan based on the steady state weekly target of "&amp;TEXT($M29,"0")&amp;" conversations per week. Week 1: "&amp;TEXT($O29,"0")&amp;". Week 2: "&amp;TEXT($P29,"0")&amp;". Week 3: "&amp;TEXT($Q29,"0")&amp;". Week 4: "&amp;TEXT($R29,"0")&amp;".","")</f>
        <v/>
      </c>
    </row>
    <row r="30">
      <c r="A30" s="8" t="n"/>
      <c r="B30" s="8" t="n"/>
      <c r="C30" s="9" t="n"/>
      <c r="D30" s="10">
        <f>Settings!$B$3</f>
        <v/>
      </c>
      <c r="E30" s="9" t="n"/>
      <c r="F30" s="9" t="n"/>
      <c r="G30" s="10">
        <f>Settings!$B$5</f>
        <v/>
      </c>
      <c r="H30" s="11">
        <f>IF($B30="New hire",Settings!$B$6,IF($E30&gt;0,$F30/$E30,Settings!$B$6))</f>
        <v/>
      </c>
      <c r="I30" s="12">
        <f>IF($B30="New hire","Baseline",IF($E30&gt;0,"Personal","Baseline"))</f>
        <v/>
      </c>
      <c r="J30" s="10">
        <f>IF($C30&gt;0,$C30*$H30,"")</f>
        <v/>
      </c>
      <c r="K30" s="10">
        <f>IF($C30&gt;0,$G30*$C30,"")</f>
        <v/>
      </c>
      <c r="L30" s="10">
        <f>IF($C30&gt;0,$J30+$K30,"")</f>
        <v/>
      </c>
      <c r="M30" s="10">
        <f>IF($L30&gt;0,CEILING($L30/($D30/Settings!$B$4),1),"")</f>
        <v/>
      </c>
      <c r="N30" s="10">
        <f>IF($L30&gt;0,CEILING($L30/$D30,1),"")</f>
        <v/>
      </c>
      <c r="O30" s="10">
        <f>IF($B30="New hire",CEILING($M30*Settings!$B$7,1),"")</f>
        <v/>
      </c>
      <c r="P30" s="10">
        <f>IF($B30="New hire",CEILING($M30*Settings!$B$8,1),"")</f>
        <v/>
      </c>
      <c r="Q30" s="10">
        <f>IF($B30="New hire",CEILING($M30*Settings!$B$9,1),"")</f>
        <v/>
      </c>
      <c r="R30" s="10">
        <f>IF($B30="New hire",CEILING($M30*Settings!$B$10,1),"")</f>
        <v/>
      </c>
      <c r="S30" s="13">
        <f>IF($C30&gt;0,"To hit "&amp;$C30&amp;" admissions this month, plan for "&amp;TEXT(ROUNDUP($L30,0),"0")&amp;" referral conversations this month. That is "&amp;TEXT($M30,"0")&amp;" per week and "&amp;TEXT($N30,"0")&amp;" per day. This includes a buffer of "&amp;TEXT($K30,"0")&amp;" extra conversations. Rate used: "&amp;$I30&amp;".","")</f>
        <v/>
      </c>
      <c r="T30" s="13">
        <f>IF($B30="New hire","New hire ramp plan based on the steady state weekly target of "&amp;TEXT($M30,"0")&amp;" conversations per week. Week 1: "&amp;TEXT($O30,"0")&amp;". Week 2: "&amp;TEXT($P30,"0")&amp;". Week 3: "&amp;TEXT($Q30,"0")&amp;". Week 4: "&amp;TEXT($R30,"0")&amp;".","")</f>
        <v/>
      </c>
    </row>
    <row r="31">
      <c r="A31" s="8" t="n"/>
      <c r="B31" s="8" t="n"/>
      <c r="C31" s="9" t="n"/>
      <c r="D31" s="10">
        <f>Settings!$B$3</f>
        <v/>
      </c>
      <c r="E31" s="9" t="n"/>
      <c r="F31" s="9" t="n"/>
      <c r="G31" s="10">
        <f>Settings!$B$5</f>
        <v/>
      </c>
      <c r="H31" s="11">
        <f>IF($B31="New hire",Settings!$B$6,IF($E31&gt;0,$F31/$E31,Settings!$B$6))</f>
        <v/>
      </c>
      <c r="I31" s="12">
        <f>IF($B31="New hire","Baseline",IF($E31&gt;0,"Personal","Baseline"))</f>
        <v/>
      </c>
      <c r="J31" s="10">
        <f>IF($C31&gt;0,$C31*$H31,"")</f>
        <v/>
      </c>
      <c r="K31" s="10">
        <f>IF($C31&gt;0,$G31*$C31,"")</f>
        <v/>
      </c>
      <c r="L31" s="10">
        <f>IF($C31&gt;0,$J31+$K31,"")</f>
        <v/>
      </c>
      <c r="M31" s="10">
        <f>IF($L31&gt;0,CEILING($L31/($D31/Settings!$B$4),1),"")</f>
        <v/>
      </c>
      <c r="N31" s="10">
        <f>IF($L31&gt;0,CEILING($L31/$D31,1),"")</f>
        <v/>
      </c>
      <c r="O31" s="10">
        <f>IF($B31="New hire",CEILING($M31*Settings!$B$7,1),"")</f>
        <v/>
      </c>
      <c r="P31" s="10">
        <f>IF($B31="New hire",CEILING($M31*Settings!$B$8,1),"")</f>
        <v/>
      </c>
      <c r="Q31" s="10">
        <f>IF($B31="New hire",CEILING($M31*Settings!$B$9,1),"")</f>
        <v/>
      </c>
      <c r="R31" s="10">
        <f>IF($B31="New hire",CEILING($M31*Settings!$B$10,1),"")</f>
        <v/>
      </c>
      <c r="S31" s="13">
        <f>IF($C31&gt;0,"To hit "&amp;$C31&amp;" admissions this month, plan for "&amp;TEXT(ROUNDUP($L31,0),"0")&amp;" referral conversations this month. That is "&amp;TEXT($M31,"0")&amp;" per week and "&amp;TEXT($N31,"0")&amp;" per day. This includes a buffer of "&amp;TEXT($K31,"0")&amp;" extra conversations. Rate used: "&amp;$I31&amp;".","")</f>
        <v/>
      </c>
      <c r="T31" s="13">
        <f>IF($B31="New hire","New hire ramp plan based on the steady state weekly target of "&amp;TEXT($M31,"0")&amp;" conversations per week. Week 1: "&amp;TEXT($O31,"0")&amp;". Week 2: "&amp;TEXT($P31,"0")&amp;". Week 3: "&amp;TEXT($Q31,"0")&amp;". Week 4: "&amp;TEXT($R31,"0")&amp;".","")</f>
        <v/>
      </c>
    </row>
    <row r="32">
      <c r="A32" s="8" t="n"/>
      <c r="B32" s="8" t="n"/>
      <c r="C32" s="9" t="n"/>
      <c r="D32" s="10">
        <f>Settings!$B$3</f>
        <v/>
      </c>
      <c r="E32" s="9" t="n"/>
      <c r="F32" s="9" t="n"/>
      <c r="G32" s="10">
        <f>Settings!$B$5</f>
        <v/>
      </c>
      <c r="H32" s="11">
        <f>IF($B32="New hire",Settings!$B$6,IF($E32&gt;0,$F32/$E32,Settings!$B$6))</f>
        <v/>
      </c>
      <c r="I32" s="12">
        <f>IF($B32="New hire","Baseline",IF($E32&gt;0,"Personal","Baseline"))</f>
        <v/>
      </c>
      <c r="J32" s="10">
        <f>IF($C32&gt;0,$C32*$H32,"")</f>
        <v/>
      </c>
      <c r="K32" s="10">
        <f>IF($C32&gt;0,$G32*$C32,"")</f>
        <v/>
      </c>
      <c r="L32" s="10">
        <f>IF($C32&gt;0,$J32+$K32,"")</f>
        <v/>
      </c>
      <c r="M32" s="10">
        <f>IF($L32&gt;0,CEILING($L32/($D32/Settings!$B$4),1),"")</f>
        <v/>
      </c>
      <c r="N32" s="10">
        <f>IF($L32&gt;0,CEILING($L32/$D32,1),"")</f>
        <v/>
      </c>
      <c r="O32" s="10">
        <f>IF($B32="New hire",CEILING($M32*Settings!$B$7,1),"")</f>
        <v/>
      </c>
      <c r="P32" s="10">
        <f>IF($B32="New hire",CEILING($M32*Settings!$B$8,1),"")</f>
        <v/>
      </c>
      <c r="Q32" s="10">
        <f>IF($B32="New hire",CEILING($M32*Settings!$B$9,1),"")</f>
        <v/>
      </c>
      <c r="R32" s="10">
        <f>IF($B32="New hire",CEILING($M32*Settings!$B$10,1),"")</f>
        <v/>
      </c>
      <c r="S32" s="13">
        <f>IF($C32&gt;0,"To hit "&amp;$C32&amp;" admissions this month, plan for "&amp;TEXT(ROUNDUP($L32,0),"0")&amp;" referral conversations this month. That is "&amp;TEXT($M32,"0")&amp;" per week and "&amp;TEXT($N32,"0")&amp;" per day. This includes a buffer of "&amp;TEXT($K32,"0")&amp;" extra conversations. Rate used: "&amp;$I32&amp;".","")</f>
        <v/>
      </c>
      <c r="T32" s="13">
        <f>IF($B32="New hire","New hire ramp plan based on the steady state weekly target of "&amp;TEXT($M32,"0")&amp;" conversations per week. Week 1: "&amp;TEXT($O32,"0")&amp;". Week 2: "&amp;TEXT($P32,"0")&amp;". Week 3: "&amp;TEXT($Q32,"0")&amp;". Week 4: "&amp;TEXT($R32,"0")&amp;".","")</f>
        <v/>
      </c>
    </row>
    <row r="33">
      <c r="A33" s="8" t="n"/>
      <c r="B33" s="8" t="n"/>
      <c r="C33" s="9" t="n"/>
      <c r="D33" s="10">
        <f>Settings!$B$3</f>
        <v/>
      </c>
      <c r="E33" s="9" t="n"/>
      <c r="F33" s="9" t="n"/>
      <c r="G33" s="10">
        <f>Settings!$B$5</f>
        <v/>
      </c>
      <c r="H33" s="11">
        <f>IF($B33="New hire",Settings!$B$6,IF($E33&gt;0,$F33/$E33,Settings!$B$6))</f>
        <v/>
      </c>
      <c r="I33" s="12">
        <f>IF($B33="New hire","Baseline",IF($E33&gt;0,"Personal","Baseline"))</f>
        <v/>
      </c>
      <c r="J33" s="10">
        <f>IF($C33&gt;0,$C33*$H33,"")</f>
        <v/>
      </c>
      <c r="K33" s="10">
        <f>IF($C33&gt;0,$G33*$C33,"")</f>
        <v/>
      </c>
      <c r="L33" s="10">
        <f>IF($C33&gt;0,$J33+$K33,"")</f>
        <v/>
      </c>
      <c r="M33" s="10">
        <f>IF($L33&gt;0,CEILING($L33/($D33/Settings!$B$4),1),"")</f>
        <v/>
      </c>
      <c r="N33" s="10">
        <f>IF($L33&gt;0,CEILING($L33/$D33,1),"")</f>
        <v/>
      </c>
      <c r="O33" s="10">
        <f>IF($B33="New hire",CEILING($M33*Settings!$B$7,1),"")</f>
        <v/>
      </c>
      <c r="P33" s="10">
        <f>IF($B33="New hire",CEILING($M33*Settings!$B$8,1),"")</f>
        <v/>
      </c>
      <c r="Q33" s="10">
        <f>IF($B33="New hire",CEILING($M33*Settings!$B$9,1),"")</f>
        <v/>
      </c>
      <c r="R33" s="10">
        <f>IF($B33="New hire",CEILING($M33*Settings!$B$10,1),"")</f>
        <v/>
      </c>
      <c r="S33" s="13">
        <f>IF($C33&gt;0,"To hit "&amp;$C33&amp;" admissions this month, plan for "&amp;TEXT(ROUNDUP($L33,0),"0")&amp;" referral conversations this month. That is "&amp;TEXT($M33,"0")&amp;" per week and "&amp;TEXT($N33,"0")&amp;" per day. This includes a buffer of "&amp;TEXT($K33,"0")&amp;" extra conversations. Rate used: "&amp;$I33&amp;".","")</f>
        <v/>
      </c>
      <c r="T33" s="13">
        <f>IF($B33="New hire","New hire ramp plan based on the steady state weekly target of "&amp;TEXT($M33,"0")&amp;" conversations per week. Week 1: "&amp;TEXT($O33,"0")&amp;". Week 2: "&amp;TEXT($P33,"0")&amp;". Week 3: "&amp;TEXT($Q33,"0")&amp;". Week 4: "&amp;TEXT($R33,"0")&amp;".","")</f>
        <v/>
      </c>
    </row>
    <row r="34">
      <c r="A34" s="8" t="n"/>
      <c r="B34" s="8" t="n"/>
      <c r="C34" s="9" t="n"/>
      <c r="D34" s="10">
        <f>Settings!$B$3</f>
        <v/>
      </c>
      <c r="E34" s="9" t="n"/>
      <c r="F34" s="9" t="n"/>
      <c r="G34" s="10">
        <f>Settings!$B$5</f>
        <v/>
      </c>
      <c r="H34" s="11">
        <f>IF($B34="New hire",Settings!$B$6,IF($E34&gt;0,$F34/$E34,Settings!$B$6))</f>
        <v/>
      </c>
      <c r="I34" s="12">
        <f>IF($B34="New hire","Baseline",IF($E34&gt;0,"Personal","Baseline"))</f>
        <v/>
      </c>
      <c r="J34" s="10">
        <f>IF($C34&gt;0,$C34*$H34,"")</f>
        <v/>
      </c>
      <c r="K34" s="10">
        <f>IF($C34&gt;0,$G34*$C34,"")</f>
        <v/>
      </c>
      <c r="L34" s="10">
        <f>IF($C34&gt;0,$J34+$K34,"")</f>
        <v/>
      </c>
      <c r="M34" s="10">
        <f>IF($L34&gt;0,CEILING($L34/($D34/Settings!$B$4),1),"")</f>
        <v/>
      </c>
      <c r="N34" s="10">
        <f>IF($L34&gt;0,CEILING($L34/$D34,1),"")</f>
        <v/>
      </c>
      <c r="O34" s="10">
        <f>IF($B34="New hire",CEILING($M34*Settings!$B$7,1),"")</f>
        <v/>
      </c>
      <c r="P34" s="10">
        <f>IF($B34="New hire",CEILING($M34*Settings!$B$8,1),"")</f>
        <v/>
      </c>
      <c r="Q34" s="10">
        <f>IF($B34="New hire",CEILING($M34*Settings!$B$9,1),"")</f>
        <v/>
      </c>
      <c r="R34" s="10">
        <f>IF($B34="New hire",CEILING($M34*Settings!$B$10,1),"")</f>
        <v/>
      </c>
      <c r="S34" s="13">
        <f>IF($C34&gt;0,"To hit "&amp;$C34&amp;" admissions this month, plan for "&amp;TEXT(ROUNDUP($L34,0),"0")&amp;" referral conversations this month. That is "&amp;TEXT($M34,"0")&amp;" per week and "&amp;TEXT($N34,"0")&amp;" per day. This includes a buffer of "&amp;TEXT($K34,"0")&amp;" extra conversations. Rate used: "&amp;$I34&amp;".","")</f>
        <v/>
      </c>
      <c r="T34" s="13">
        <f>IF($B34="New hire","New hire ramp plan based on the steady state weekly target of "&amp;TEXT($M34,"0")&amp;" conversations per week. Week 1: "&amp;TEXT($O34,"0")&amp;". Week 2: "&amp;TEXT($P34,"0")&amp;". Week 3: "&amp;TEXT($Q34,"0")&amp;". Week 4: "&amp;TEXT($R34,"0")&amp;".","")</f>
        <v/>
      </c>
    </row>
    <row r="35">
      <c r="A35" s="8" t="n"/>
      <c r="B35" s="8" t="n"/>
      <c r="C35" s="9" t="n"/>
      <c r="D35" s="10">
        <f>Settings!$B$3</f>
        <v/>
      </c>
      <c r="E35" s="9" t="n"/>
      <c r="F35" s="9" t="n"/>
      <c r="G35" s="10">
        <f>Settings!$B$5</f>
        <v/>
      </c>
      <c r="H35" s="11">
        <f>IF($B35="New hire",Settings!$B$6,IF($E35&gt;0,$F35/$E35,Settings!$B$6))</f>
        <v/>
      </c>
      <c r="I35" s="12">
        <f>IF($B35="New hire","Baseline",IF($E35&gt;0,"Personal","Baseline"))</f>
        <v/>
      </c>
      <c r="J35" s="10">
        <f>IF($C35&gt;0,$C35*$H35,"")</f>
        <v/>
      </c>
      <c r="K35" s="10">
        <f>IF($C35&gt;0,$G35*$C35,"")</f>
        <v/>
      </c>
      <c r="L35" s="10">
        <f>IF($C35&gt;0,$J35+$K35,"")</f>
        <v/>
      </c>
      <c r="M35" s="10">
        <f>IF($L35&gt;0,CEILING($L35/($D35/Settings!$B$4),1),"")</f>
        <v/>
      </c>
      <c r="N35" s="10">
        <f>IF($L35&gt;0,CEILING($L35/$D35,1),"")</f>
        <v/>
      </c>
      <c r="O35" s="10">
        <f>IF($B35="New hire",CEILING($M35*Settings!$B$7,1),"")</f>
        <v/>
      </c>
      <c r="P35" s="10">
        <f>IF($B35="New hire",CEILING($M35*Settings!$B$8,1),"")</f>
        <v/>
      </c>
      <c r="Q35" s="10">
        <f>IF($B35="New hire",CEILING($M35*Settings!$B$9,1),"")</f>
        <v/>
      </c>
      <c r="R35" s="10">
        <f>IF($B35="New hire",CEILING($M35*Settings!$B$10,1),"")</f>
        <v/>
      </c>
      <c r="S35" s="13">
        <f>IF($C35&gt;0,"To hit "&amp;$C35&amp;" admissions this month, plan for "&amp;TEXT(ROUNDUP($L35,0),"0")&amp;" referral conversations this month. That is "&amp;TEXT($M35,"0")&amp;" per week and "&amp;TEXT($N35,"0")&amp;" per day. This includes a buffer of "&amp;TEXT($K35,"0")&amp;" extra conversations. Rate used: "&amp;$I35&amp;".","")</f>
        <v/>
      </c>
      <c r="T35" s="13">
        <f>IF($B35="New hire","New hire ramp plan based on the steady state weekly target of "&amp;TEXT($M35,"0")&amp;" conversations per week. Week 1: "&amp;TEXT($O35,"0")&amp;". Week 2: "&amp;TEXT($P35,"0")&amp;". Week 3: "&amp;TEXT($Q35,"0")&amp;". Week 4: "&amp;TEXT($R35,"0")&amp;".","")</f>
        <v/>
      </c>
    </row>
    <row r="36">
      <c r="A36" s="8" t="n"/>
      <c r="B36" s="8" t="n"/>
      <c r="C36" s="9" t="n"/>
      <c r="D36" s="10">
        <f>Settings!$B$3</f>
        <v/>
      </c>
      <c r="E36" s="9" t="n"/>
      <c r="F36" s="9" t="n"/>
      <c r="G36" s="10">
        <f>Settings!$B$5</f>
        <v/>
      </c>
      <c r="H36" s="11">
        <f>IF($B36="New hire",Settings!$B$6,IF($E36&gt;0,$F36/$E36,Settings!$B$6))</f>
        <v/>
      </c>
      <c r="I36" s="12">
        <f>IF($B36="New hire","Baseline",IF($E36&gt;0,"Personal","Baseline"))</f>
        <v/>
      </c>
      <c r="J36" s="10">
        <f>IF($C36&gt;0,$C36*$H36,"")</f>
        <v/>
      </c>
      <c r="K36" s="10">
        <f>IF($C36&gt;0,$G36*$C36,"")</f>
        <v/>
      </c>
      <c r="L36" s="10">
        <f>IF($C36&gt;0,$J36+$K36,"")</f>
        <v/>
      </c>
      <c r="M36" s="10">
        <f>IF($L36&gt;0,CEILING($L36/($D36/Settings!$B$4),1),"")</f>
        <v/>
      </c>
      <c r="N36" s="10">
        <f>IF($L36&gt;0,CEILING($L36/$D36,1),"")</f>
        <v/>
      </c>
      <c r="O36" s="10">
        <f>IF($B36="New hire",CEILING($M36*Settings!$B$7,1),"")</f>
        <v/>
      </c>
      <c r="P36" s="10">
        <f>IF($B36="New hire",CEILING($M36*Settings!$B$8,1),"")</f>
        <v/>
      </c>
      <c r="Q36" s="10">
        <f>IF($B36="New hire",CEILING($M36*Settings!$B$9,1),"")</f>
        <v/>
      </c>
      <c r="R36" s="10">
        <f>IF($B36="New hire",CEILING($M36*Settings!$B$10,1),"")</f>
        <v/>
      </c>
      <c r="S36" s="13">
        <f>IF($C36&gt;0,"To hit "&amp;$C36&amp;" admissions this month, plan for "&amp;TEXT(ROUNDUP($L36,0),"0")&amp;" referral conversations this month. That is "&amp;TEXT($M36,"0")&amp;" per week and "&amp;TEXT($N36,"0")&amp;" per day. This includes a buffer of "&amp;TEXT($K36,"0")&amp;" extra conversations. Rate used: "&amp;$I36&amp;".","")</f>
        <v/>
      </c>
      <c r="T36" s="13">
        <f>IF($B36="New hire","New hire ramp plan based on the steady state weekly target of "&amp;TEXT($M36,"0")&amp;" conversations per week. Week 1: "&amp;TEXT($O36,"0")&amp;". Week 2: "&amp;TEXT($P36,"0")&amp;". Week 3: "&amp;TEXT($Q36,"0")&amp;". Week 4: "&amp;TEXT($R36,"0")&amp;".","")</f>
        <v/>
      </c>
    </row>
    <row r="37">
      <c r="A37" s="8" t="n"/>
      <c r="B37" s="8" t="n"/>
      <c r="C37" s="9" t="n"/>
      <c r="D37" s="10">
        <f>Settings!$B$3</f>
        <v/>
      </c>
      <c r="E37" s="9" t="n"/>
      <c r="F37" s="9" t="n"/>
      <c r="G37" s="10">
        <f>Settings!$B$5</f>
        <v/>
      </c>
      <c r="H37" s="11">
        <f>IF($B37="New hire",Settings!$B$6,IF($E37&gt;0,$F37/$E37,Settings!$B$6))</f>
        <v/>
      </c>
      <c r="I37" s="12">
        <f>IF($B37="New hire","Baseline",IF($E37&gt;0,"Personal","Baseline"))</f>
        <v/>
      </c>
      <c r="J37" s="10">
        <f>IF($C37&gt;0,$C37*$H37,"")</f>
        <v/>
      </c>
      <c r="K37" s="10">
        <f>IF($C37&gt;0,$G37*$C37,"")</f>
        <v/>
      </c>
      <c r="L37" s="10">
        <f>IF($C37&gt;0,$J37+$K37,"")</f>
        <v/>
      </c>
      <c r="M37" s="10">
        <f>IF($L37&gt;0,CEILING($L37/($D37/Settings!$B$4),1),"")</f>
        <v/>
      </c>
      <c r="N37" s="10">
        <f>IF($L37&gt;0,CEILING($L37/$D37,1),"")</f>
        <v/>
      </c>
      <c r="O37" s="10">
        <f>IF($B37="New hire",CEILING($M37*Settings!$B$7,1),"")</f>
        <v/>
      </c>
      <c r="P37" s="10">
        <f>IF($B37="New hire",CEILING($M37*Settings!$B$8,1),"")</f>
        <v/>
      </c>
      <c r="Q37" s="10">
        <f>IF($B37="New hire",CEILING($M37*Settings!$B$9,1),"")</f>
        <v/>
      </c>
      <c r="R37" s="10">
        <f>IF($B37="New hire",CEILING($M37*Settings!$B$10,1),"")</f>
        <v/>
      </c>
      <c r="S37" s="13">
        <f>IF($C37&gt;0,"To hit "&amp;$C37&amp;" admissions this month, plan for "&amp;TEXT(ROUNDUP($L37,0),"0")&amp;" referral conversations this month. That is "&amp;TEXT($M37,"0")&amp;" per week and "&amp;TEXT($N37,"0")&amp;" per day. This includes a buffer of "&amp;TEXT($K37,"0")&amp;" extra conversations. Rate used: "&amp;$I37&amp;".","")</f>
        <v/>
      </c>
      <c r="T37" s="13">
        <f>IF($B37="New hire","New hire ramp plan based on the steady state weekly target of "&amp;TEXT($M37,"0")&amp;" conversations per week. Week 1: "&amp;TEXT($O37,"0")&amp;". Week 2: "&amp;TEXT($P37,"0")&amp;". Week 3: "&amp;TEXT($Q37,"0")&amp;". Week 4: "&amp;TEXT($R37,"0")&amp;".","")</f>
        <v/>
      </c>
    </row>
    <row r="38">
      <c r="A38" s="8" t="n"/>
      <c r="B38" s="8" t="n"/>
      <c r="C38" s="9" t="n"/>
      <c r="D38" s="10">
        <f>Settings!$B$3</f>
        <v/>
      </c>
      <c r="E38" s="9" t="n"/>
      <c r="F38" s="9" t="n"/>
      <c r="G38" s="10">
        <f>Settings!$B$5</f>
        <v/>
      </c>
      <c r="H38" s="11">
        <f>IF($B38="New hire",Settings!$B$6,IF($E38&gt;0,$F38/$E38,Settings!$B$6))</f>
        <v/>
      </c>
      <c r="I38" s="12">
        <f>IF($B38="New hire","Baseline",IF($E38&gt;0,"Personal","Baseline"))</f>
        <v/>
      </c>
      <c r="J38" s="10">
        <f>IF($C38&gt;0,$C38*$H38,"")</f>
        <v/>
      </c>
      <c r="K38" s="10">
        <f>IF($C38&gt;0,$G38*$C38,"")</f>
        <v/>
      </c>
      <c r="L38" s="10">
        <f>IF($C38&gt;0,$J38+$K38,"")</f>
        <v/>
      </c>
      <c r="M38" s="10">
        <f>IF($L38&gt;0,CEILING($L38/($D38/Settings!$B$4),1),"")</f>
        <v/>
      </c>
      <c r="N38" s="10">
        <f>IF($L38&gt;0,CEILING($L38/$D38,1),"")</f>
        <v/>
      </c>
      <c r="O38" s="10">
        <f>IF($B38="New hire",CEILING($M38*Settings!$B$7,1),"")</f>
        <v/>
      </c>
      <c r="P38" s="10">
        <f>IF($B38="New hire",CEILING($M38*Settings!$B$8,1),"")</f>
        <v/>
      </c>
      <c r="Q38" s="10">
        <f>IF($B38="New hire",CEILING($M38*Settings!$B$9,1),"")</f>
        <v/>
      </c>
      <c r="R38" s="10">
        <f>IF($B38="New hire",CEILING($M38*Settings!$B$10,1),"")</f>
        <v/>
      </c>
      <c r="S38" s="13">
        <f>IF($C38&gt;0,"To hit "&amp;$C38&amp;" admissions this month, plan for "&amp;TEXT(ROUNDUP($L38,0),"0")&amp;" referral conversations this month. That is "&amp;TEXT($M38,"0")&amp;" per week and "&amp;TEXT($N38,"0")&amp;" per day. This includes a buffer of "&amp;TEXT($K38,"0")&amp;" extra conversations. Rate used: "&amp;$I38&amp;".","")</f>
        <v/>
      </c>
      <c r="T38" s="13">
        <f>IF($B38="New hire","New hire ramp plan based on the steady state weekly target of "&amp;TEXT($M38,"0")&amp;" conversations per week. Week 1: "&amp;TEXT($O38,"0")&amp;". Week 2: "&amp;TEXT($P38,"0")&amp;". Week 3: "&amp;TEXT($Q38,"0")&amp;". Week 4: "&amp;TEXT($R38,"0")&amp;".","")</f>
        <v/>
      </c>
    </row>
    <row r="39">
      <c r="A39" s="8" t="n"/>
      <c r="B39" s="8" t="n"/>
      <c r="C39" s="9" t="n"/>
      <c r="D39" s="10">
        <f>Settings!$B$3</f>
        <v/>
      </c>
      <c r="E39" s="9" t="n"/>
      <c r="F39" s="9" t="n"/>
      <c r="G39" s="10">
        <f>Settings!$B$5</f>
        <v/>
      </c>
      <c r="H39" s="11">
        <f>IF($B39="New hire",Settings!$B$6,IF($E39&gt;0,$F39/$E39,Settings!$B$6))</f>
        <v/>
      </c>
      <c r="I39" s="12">
        <f>IF($B39="New hire","Baseline",IF($E39&gt;0,"Personal","Baseline"))</f>
        <v/>
      </c>
      <c r="J39" s="10">
        <f>IF($C39&gt;0,$C39*$H39,"")</f>
        <v/>
      </c>
      <c r="K39" s="10">
        <f>IF($C39&gt;0,$G39*$C39,"")</f>
        <v/>
      </c>
      <c r="L39" s="10">
        <f>IF($C39&gt;0,$J39+$K39,"")</f>
        <v/>
      </c>
      <c r="M39" s="10">
        <f>IF($L39&gt;0,CEILING($L39/($D39/Settings!$B$4),1),"")</f>
        <v/>
      </c>
      <c r="N39" s="10">
        <f>IF($L39&gt;0,CEILING($L39/$D39,1),"")</f>
        <v/>
      </c>
      <c r="O39" s="10">
        <f>IF($B39="New hire",CEILING($M39*Settings!$B$7,1),"")</f>
        <v/>
      </c>
      <c r="P39" s="10">
        <f>IF($B39="New hire",CEILING($M39*Settings!$B$8,1),"")</f>
        <v/>
      </c>
      <c r="Q39" s="10">
        <f>IF($B39="New hire",CEILING($M39*Settings!$B$9,1),"")</f>
        <v/>
      </c>
      <c r="R39" s="10">
        <f>IF($B39="New hire",CEILING($M39*Settings!$B$10,1),"")</f>
        <v/>
      </c>
      <c r="S39" s="13">
        <f>IF($C39&gt;0,"To hit "&amp;$C39&amp;" admissions this month, plan for "&amp;TEXT(ROUNDUP($L39,0),"0")&amp;" referral conversations this month. That is "&amp;TEXT($M39,"0")&amp;" per week and "&amp;TEXT($N39,"0")&amp;" per day. This includes a buffer of "&amp;TEXT($K39,"0")&amp;" extra conversations. Rate used: "&amp;$I39&amp;".","")</f>
        <v/>
      </c>
      <c r="T39" s="13">
        <f>IF($B39="New hire","New hire ramp plan based on the steady state weekly target of "&amp;TEXT($M39,"0")&amp;" conversations per week. Week 1: "&amp;TEXT($O39,"0")&amp;". Week 2: "&amp;TEXT($P39,"0")&amp;". Week 3: "&amp;TEXT($Q39,"0")&amp;". Week 4: "&amp;TEXT($R39,"0")&amp;".","")</f>
        <v/>
      </c>
    </row>
    <row r="40">
      <c r="A40" s="8" t="n"/>
      <c r="B40" s="8" t="n"/>
      <c r="C40" s="9" t="n"/>
      <c r="D40" s="10">
        <f>Settings!$B$3</f>
        <v/>
      </c>
      <c r="E40" s="9" t="n"/>
      <c r="F40" s="9" t="n"/>
      <c r="G40" s="10">
        <f>Settings!$B$5</f>
        <v/>
      </c>
      <c r="H40" s="11">
        <f>IF($B40="New hire",Settings!$B$6,IF($E40&gt;0,$F40/$E40,Settings!$B$6))</f>
        <v/>
      </c>
      <c r="I40" s="12">
        <f>IF($B40="New hire","Baseline",IF($E40&gt;0,"Personal","Baseline"))</f>
        <v/>
      </c>
      <c r="J40" s="10">
        <f>IF($C40&gt;0,$C40*$H40,"")</f>
        <v/>
      </c>
      <c r="K40" s="10">
        <f>IF($C40&gt;0,$G40*$C40,"")</f>
        <v/>
      </c>
      <c r="L40" s="10">
        <f>IF($C40&gt;0,$J40+$K40,"")</f>
        <v/>
      </c>
      <c r="M40" s="10">
        <f>IF($L40&gt;0,CEILING($L40/($D40/Settings!$B$4),1),"")</f>
        <v/>
      </c>
      <c r="N40" s="10">
        <f>IF($L40&gt;0,CEILING($L40/$D40,1),"")</f>
        <v/>
      </c>
      <c r="O40" s="10">
        <f>IF($B40="New hire",CEILING($M40*Settings!$B$7,1),"")</f>
        <v/>
      </c>
      <c r="P40" s="10">
        <f>IF($B40="New hire",CEILING($M40*Settings!$B$8,1),"")</f>
        <v/>
      </c>
      <c r="Q40" s="10">
        <f>IF($B40="New hire",CEILING($M40*Settings!$B$9,1),"")</f>
        <v/>
      </c>
      <c r="R40" s="10">
        <f>IF($B40="New hire",CEILING($M40*Settings!$B$10,1),"")</f>
        <v/>
      </c>
      <c r="S40" s="13">
        <f>IF($C40&gt;0,"To hit "&amp;$C40&amp;" admissions this month, plan for "&amp;TEXT(ROUNDUP($L40,0),"0")&amp;" referral conversations this month. That is "&amp;TEXT($M40,"0")&amp;" per week and "&amp;TEXT($N40,"0")&amp;" per day. This includes a buffer of "&amp;TEXT($K40,"0")&amp;" extra conversations. Rate used: "&amp;$I40&amp;".","")</f>
        <v/>
      </c>
      <c r="T40" s="13">
        <f>IF($B40="New hire","New hire ramp plan based on the steady state weekly target of "&amp;TEXT($M40,"0")&amp;" conversations per week. Week 1: "&amp;TEXT($O40,"0")&amp;". Week 2: "&amp;TEXT($P40,"0")&amp;". Week 3: "&amp;TEXT($Q40,"0")&amp;". Week 4: "&amp;TEXT($R40,"0")&amp;".","")</f>
        <v/>
      </c>
    </row>
    <row r="41">
      <c r="A41" s="8" t="n"/>
      <c r="B41" s="8" t="n"/>
      <c r="C41" s="9" t="n"/>
      <c r="D41" s="10">
        <f>Settings!$B$3</f>
        <v/>
      </c>
      <c r="E41" s="9" t="n"/>
      <c r="F41" s="9" t="n"/>
      <c r="G41" s="10">
        <f>Settings!$B$5</f>
        <v/>
      </c>
      <c r="H41" s="11">
        <f>IF($B41="New hire",Settings!$B$6,IF($E41&gt;0,$F41/$E41,Settings!$B$6))</f>
        <v/>
      </c>
      <c r="I41" s="12">
        <f>IF($B41="New hire","Baseline",IF($E41&gt;0,"Personal","Baseline"))</f>
        <v/>
      </c>
      <c r="J41" s="10">
        <f>IF($C41&gt;0,$C41*$H41,"")</f>
        <v/>
      </c>
      <c r="K41" s="10">
        <f>IF($C41&gt;0,$G41*$C41,"")</f>
        <v/>
      </c>
      <c r="L41" s="10">
        <f>IF($C41&gt;0,$J41+$K41,"")</f>
        <v/>
      </c>
      <c r="M41" s="10">
        <f>IF($L41&gt;0,CEILING($L41/($D41/Settings!$B$4),1),"")</f>
        <v/>
      </c>
      <c r="N41" s="10">
        <f>IF($L41&gt;0,CEILING($L41/$D41,1),"")</f>
        <v/>
      </c>
      <c r="O41" s="10">
        <f>IF($B41="New hire",CEILING($M41*Settings!$B$7,1),"")</f>
        <v/>
      </c>
      <c r="P41" s="10">
        <f>IF($B41="New hire",CEILING($M41*Settings!$B$8,1),"")</f>
        <v/>
      </c>
      <c r="Q41" s="10">
        <f>IF($B41="New hire",CEILING($M41*Settings!$B$9,1),"")</f>
        <v/>
      </c>
      <c r="R41" s="10">
        <f>IF($B41="New hire",CEILING($M41*Settings!$B$10,1),"")</f>
        <v/>
      </c>
      <c r="S41" s="13">
        <f>IF($C41&gt;0,"To hit "&amp;$C41&amp;" admissions this month, plan for "&amp;TEXT(ROUNDUP($L41,0),"0")&amp;" referral conversations this month. That is "&amp;TEXT($M41,"0")&amp;" per week and "&amp;TEXT($N41,"0")&amp;" per day. This includes a buffer of "&amp;TEXT($K41,"0")&amp;" extra conversations. Rate used: "&amp;$I41&amp;".","")</f>
        <v/>
      </c>
      <c r="T41" s="13">
        <f>IF($B41="New hire","New hire ramp plan based on the steady state weekly target of "&amp;TEXT($M41,"0")&amp;" conversations per week. Week 1: "&amp;TEXT($O41,"0")&amp;". Week 2: "&amp;TEXT($P41,"0")&amp;". Week 3: "&amp;TEXT($Q41,"0")&amp;". Week 4: "&amp;TEXT($R41,"0")&amp;".","")</f>
        <v/>
      </c>
    </row>
    <row r="42">
      <c r="A42" s="8" t="n"/>
      <c r="B42" s="8" t="n"/>
      <c r="C42" s="9" t="n"/>
      <c r="D42" s="10">
        <f>Settings!$B$3</f>
        <v/>
      </c>
      <c r="E42" s="9" t="n"/>
      <c r="F42" s="9" t="n"/>
      <c r="G42" s="10">
        <f>Settings!$B$5</f>
        <v/>
      </c>
      <c r="H42" s="11">
        <f>IF($B42="New hire",Settings!$B$6,IF($E42&gt;0,$F42/$E42,Settings!$B$6))</f>
        <v/>
      </c>
      <c r="I42" s="12">
        <f>IF($B42="New hire","Baseline",IF($E42&gt;0,"Personal","Baseline"))</f>
        <v/>
      </c>
      <c r="J42" s="10">
        <f>IF($C42&gt;0,$C42*$H42,"")</f>
        <v/>
      </c>
      <c r="K42" s="10">
        <f>IF($C42&gt;0,$G42*$C42,"")</f>
        <v/>
      </c>
      <c r="L42" s="10">
        <f>IF($C42&gt;0,$J42+$K42,"")</f>
        <v/>
      </c>
      <c r="M42" s="10">
        <f>IF($L42&gt;0,CEILING($L42/($D42/Settings!$B$4),1),"")</f>
        <v/>
      </c>
      <c r="N42" s="10">
        <f>IF($L42&gt;0,CEILING($L42/$D42,1),"")</f>
        <v/>
      </c>
      <c r="O42" s="10">
        <f>IF($B42="New hire",CEILING($M42*Settings!$B$7,1),"")</f>
        <v/>
      </c>
      <c r="P42" s="10">
        <f>IF($B42="New hire",CEILING($M42*Settings!$B$8,1),"")</f>
        <v/>
      </c>
      <c r="Q42" s="10">
        <f>IF($B42="New hire",CEILING($M42*Settings!$B$9,1),"")</f>
        <v/>
      </c>
      <c r="R42" s="10">
        <f>IF($B42="New hire",CEILING($M42*Settings!$B$10,1),"")</f>
        <v/>
      </c>
      <c r="S42" s="13">
        <f>IF($C42&gt;0,"To hit "&amp;$C42&amp;" admissions this month, plan for "&amp;TEXT(ROUNDUP($L42,0),"0")&amp;" referral conversations this month. That is "&amp;TEXT($M42,"0")&amp;" per week and "&amp;TEXT($N42,"0")&amp;" per day. This includes a buffer of "&amp;TEXT($K42,"0")&amp;" extra conversations. Rate used: "&amp;$I42&amp;".","")</f>
        <v/>
      </c>
      <c r="T42" s="13">
        <f>IF($B42="New hire","New hire ramp plan based on the steady state weekly target of "&amp;TEXT($M42,"0")&amp;" conversations per week. Week 1: "&amp;TEXT($O42,"0")&amp;". Week 2: "&amp;TEXT($P42,"0")&amp;". Week 3: "&amp;TEXT($Q42,"0")&amp;". Week 4: "&amp;TEXT($R42,"0")&amp;".","")</f>
        <v/>
      </c>
    </row>
  </sheetData>
  <dataValidations count="1">
    <dataValidation sqref="B3 B4 B5 B6 B7 B8 B9 B10 B11 B12 B13 B14 B15 B16 B17 B18 B19 B20 B21 B22 B23 B24 B25 B26 B27 B28 B29 B30 B31 B32 B33 B34 B35 B36 B37 B38 B39 B40 B41 B42" showDropDown="0" showInputMessage="0" showErrorMessage="0" allowBlank="0" type="list">
      <formula1>"New hire,Tenured"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22"/>
  <sheetViews>
    <sheetView workbookViewId="0">
      <pane ySplit="4" topLeftCell="A5" activePane="bottomLeft" state="frozen"/>
      <selection pane="bottomLeft" activeCell="A1" sqref="A1"/>
    </sheetView>
  </sheetViews>
  <sheetFormatPr baseColWidth="8" defaultRowHeight="15"/>
  <cols>
    <col width="40" customWidth="1" min="1" max="1"/>
    <col width="92" customWidth="1" min="2" max="2"/>
  </cols>
  <sheetData>
    <row r="1">
      <c r="A1" s="1" t="inlineStr">
        <is>
          <t>Rep Dashboard</t>
        </is>
      </c>
    </row>
    <row r="3">
      <c r="A3" s="2" t="inlineStr">
        <is>
          <t>Select rep</t>
        </is>
      </c>
      <c r="B3" s="14" t="n"/>
    </row>
    <row r="5">
      <c r="A5" s="3" t="inlineStr">
        <is>
          <t>Rep status</t>
        </is>
      </c>
      <c r="B5" s="4">
        <f>IF($B$3="","",INDEX('Rep Targets'!$B$3:$B$42,MATCH($B$3,'Rep Targets'!$A$3:$A$42,0)))</f>
        <v/>
      </c>
    </row>
    <row r="6">
      <c r="A6" s="3" t="inlineStr">
        <is>
          <t>Monthly admission goal</t>
        </is>
      </c>
      <c r="B6" s="4">
        <f>IF($B$3="","",INDEX('Rep Targets'!$C$3:$C$42,MATCH($B$3,'Rep Targets'!$A$3:$A$42,0)))</f>
        <v/>
      </c>
    </row>
    <row r="7">
      <c r="A7" s="3" t="inlineStr">
        <is>
          <t>Last cycle admissions</t>
        </is>
      </c>
      <c r="B7" s="4">
        <f>IF($B$3="","",INDEX('Rep Targets'!$E$3:$E$42,MATCH($B$3,'Rep Targets'!$A$3:$A$42,0)))</f>
        <v/>
      </c>
    </row>
    <row r="8">
      <c r="A8" s="3" t="inlineStr">
        <is>
          <t>Last cycle referral conversations</t>
        </is>
      </c>
      <c r="B8" s="4">
        <f>IF($B$3="","",INDEX('Rep Targets'!$F$3:$F$42,MATCH($B$3,'Rep Targets'!$A$3:$A$42,0)))</f>
        <v/>
      </c>
    </row>
    <row r="9">
      <c r="A9" s="3" t="inlineStr">
        <is>
          <t>Conversations per admission used</t>
        </is>
      </c>
      <c r="B9" s="15">
        <f>IF($B$3="","",INDEX('Rep Targets'!$H$3:$H$42,MATCH($B$3,'Rep Targets'!$A$3:$A$42,0)))</f>
        <v/>
      </c>
    </row>
    <row r="10">
      <c r="A10" s="3" t="inlineStr">
        <is>
          <t>Rate source</t>
        </is>
      </c>
      <c r="B10" s="4">
        <f>IF($B$3="","",INDEX('Rep Targets'!$I$3:$I$42,MATCH($B$3,'Rep Targets'!$A$3:$A$42,0)))</f>
        <v/>
      </c>
    </row>
    <row r="11">
      <c r="A11" s="3" t="inlineStr">
        <is>
          <t>Target conversations this month</t>
        </is>
      </c>
      <c r="B11" s="4">
        <f>IF($B$3="","",INDEX('Rep Targets'!$L$3:$L$42,MATCH($B$3,'Rep Targets'!$A$3:$A$42,0)))</f>
        <v/>
      </c>
    </row>
    <row r="12">
      <c r="A12" s="3" t="inlineStr">
        <is>
          <t>Target conversations per week</t>
        </is>
      </c>
      <c r="B12" s="4">
        <f>IF($B$3="","",INDEX('Rep Targets'!$M$3:$M$42,MATCH($B$3,'Rep Targets'!$A$3:$A$42,0)))</f>
        <v/>
      </c>
    </row>
    <row r="13">
      <c r="A13" s="3" t="inlineStr">
        <is>
          <t>Target conversations per day</t>
        </is>
      </c>
      <c r="B13" s="4">
        <f>IF($B$3="","",INDEX('Rep Targets'!$N$3:$N$42,MATCH($B$3,'Rep Targets'!$A$3:$A$42,0)))</f>
        <v/>
      </c>
    </row>
    <row r="14">
      <c r="A14" s="3" t="inlineStr">
        <is>
          <t>New hire ramp week 1 conversations</t>
        </is>
      </c>
      <c r="B14" s="4">
        <f>IF($B$3="","",INDEX('Rep Targets'!$O$3:$O$42,MATCH($B$3,'Rep Targets'!$A$3:$A$42,0)))</f>
        <v/>
      </c>
    </row>
    <row r="15">
      <c r="A15" s="3" t="inlineStr">
        <is>
          <t>New hire ramp week 2 conversations</t>
        </is>
      </c>
      <c r="B15" s="4">
        <f>IF($B$3="","",INDEX('Rep Targets'!$P$3:$P$42,MATCH($B$3,'Rep Targets'!$A$3:$A$42,0)))</f>
        <v/>
      </c>
    </row>
    <row r="16">
      <c r="A16" s="3" t="inlineStr">
        <is>
          <t>New hire ramp week 3 conversations</t>
        </is>
      </c>
      <c r="B16" s="4">
        <f>IF($B$3="","",INDEX('Rep Targets'!$Q$3:$Q$42,MATCH($B$3,'Rep Targets'!$A$3:$A$42,0)))</f>
        <v/>
      </c>
    </row>
    <row r="17">
      <c r="A17" s="3" t="inlineStr">
        <is>
          <t>New hire ramp week 4 conversations</t>
        </is>
      </c>
      <c r="B17" s="4">
        <f>IF($B$3="","",INDEX('Rep Targets'!$R$3:$R$42,MATCH($B$3,'Rep Targets'!$A$3:$A$42,0)))</f>
        <v/>
      </c>
    </row>
    <row r="20" ht="90" customHeight="1">
      <c r="A20" s="16" t="inlineStr">
        <is>
          <t>Plain English plan</t>
        </is>
      </c>
      <c r="B20" s="3">
        <f>IF($B$3="","",INDEX('Rep Targets'!$S$3:$S$42,MATCH($B$3,'Rep Targets'!$A$3:$A$42,0)))</f>
        <v/>
      </c>
    </row>
    <row r="22" ht="90" customHeight="1">
      <c r="A22" s="16" t="inlineStr">
        <is>
          <t>Plain English ramp plan</t>
        </is>
      </c>
      <c r="B22" s="3">
        <f>IF($B$3="","",INDEX('Rep Targets'!$T$3:$T$42,MATCH($B$3,'Rep Targets'!$A$3:$A$42,0)))</f>
        <v/>
      </c>
    </row>
  </sheetData>
  <dataValidations count="1">
    <dataValidation sqref="B3" showDropDown="0" showInputMessage="0" showErrorMessage="0" allowBlank="1" type="list">
      <formula1>='Rep Targets'!$A$3:$A$42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2026-02-23T22:59:41Z</dcterms:created>
  <dcterms:modified xmlns:dcterms="http://purl.org/dc/terms/" xmlns:xsi="http://www.w3.org/2001/XMLSchema-instance" xsi:type="dcterms:W3CDTF">2026-02-23T22:59:41Z</dcterms:modified>
</cp:coreProperties>
</file>