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3198d92622e20491/Consulting Business/"/>
    </mc:Choice>
  </mc:AlternateContent>
  <xr:revisionPtr revIDLastSave="0" documentId="8_{847F5108-69CD-4905-BF60-BA49D686470B}" xr6:coauthVersionLast="47" xr6:coauthVersionMax="47" xr10:uidLastSave="{00000000-0000-0000-0000-000000000000}"/>
  <bookViews>
    <workbookView xWindow="-108" yWindow="-108" windowWidth="23256" windowHeight="12456" xr2:uid="{00000000-000D-0000-FFFF-FFFF00000000}"/>
  </bookViews>
  <sheets>
    <sheet name="START_HERE" sheetId="1" r:id="rId1"/>
    <sheet name="Scenario_Assumptions" sheetId="2" r:id="rId2"/>
    <sheet name="Staffing_Assumptions" sheetId="3" r:id="rId3"/>
    <sheet name="Admissions_Engine" sheetId="4" r:id="rId4"/>
    <sheet name="Profit_Simulator" sheetId="5" r:id="rId5"/>
    <sheet name="Dashboard" sheetId="6" r:id="rId6"/>
    <sheet name="How_to_Us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6" l="1"/>
  <c r="C118" i="5"/>
  <c r="E118" i="5" s="1"/>
  <c r="C76" i="5"/>
  <c r="E76" i="5" s="1"/>
  <c r="H13" i="3"/>
  <c r="F13" i="3"/>
  <c r="G13" i="3" s="1"/>
  <c r="E13" i="3"/>
  <c r="E11" i="3"/>
  <c r="F11" i="3" s="1"/>
  <c r="E10" i="3"/>
  <c r="F10" i="3" s="1"/>
  <c r="E9" i="3"/>
  <c r="F9" i="3" s="1"/>
  <c r="E8" i="3"/>
  <c r="F8" i="3" s="1"/>
  <c r="D7" i="3"/>
  <c r="D6" i="3"/>
  <c r="D5" i="3"/>
  <c r="D4" i="3"/>
  <c r="E3" i="3"/>
  <c r="F3" i="3" s="1"/>
  <c r="E2" i="3"/>
  <c r="F2" i="3" s="1"/>
  <c r="B20" i="1"/>
  <c r="B7" i="4" s="1"/>
  <c r="B19" i="1"/>
  <c r="H7" i="6" s="1"/>
  <c r="B18" i="1"/>
  <c r="B17" i="1"/>
  <c r="B16" i="1"/>
  <c r="B15" i="1"/>
  <c r="G14" i="1"/>
  <c r="B14" i="1"/>
  <c r="B13" i="1"/>
  <c r="B12" i="1"/>
  <c r="G7" i="1" s="1"/>
  <c r="C136" i="5" s="1"/>
  <c r="E136" i="5" s="1"/>
  <c r="B11" i="1"/>
  <c r="G10" i="1"/>
  <c r="E7" i="6" s="1"/>
  <c r="B10" i="1"/>
  <c r="B9" i="1"/>
  <c r="G6" i="1" s="1"/>
  <c r="B66" i="5" s="1"/>
  <c r="D66" i="5" s="1"/>
  <c r="B8" i="1"/>
  <c r="E4" i="6" l="1"/>
  <c r="G15" i="1"/>
  <c r="B6" i="4"/>
  <c r="E12" i="3"/>
  <c r="F12" i="3" s="1"/>
  <c r="B81" i="5"/>
  <c r="D81" i="5" s="1"/>
  <c r="B36" i="5"/>
  <c r="D36" i="5" s="1"/>
  <c r="B52" i="5"/>
  <c r="D52" i="5" s="1"/>
  <c r="B21" i="5"/>
  <c r="D21" i="5" s="1"/>
  <c r="B43" i="5"/>
  <c r="D43" i="5" s="1"/>
  <c r="G8" i="1"/>
  <c r="B57" i="5"/>
  <c r="D57" i="5" s="1"/>
  <c r="H8" i="3"/>
  <c r="G8" i="3"/>
  <c r="B46" i="5"/>
  <c r="D46" i="5" s="1"/>
  <c r="C127" i="5"/>
  <c r="E127" i="5" s="1"/>
  <c r="B64" i="5"/>
  <c r="D64" i="5" s="1"/>
  <c r="B34" i="5"/>
  <c r="D34" i="5" s="1"/>
  <c r="H9" i="3"/>
  <c r="G9" i="3"/>
  <c r="B25" i="5"/>
  <c r="D25" i="5" s="1"/>
  <c r="B37" i="5"/>
  <c r="D37" i="5" s="1"/>
  <c r="H11" i="3"/>
  <c r="G11" i="3"/>
  <c r="B16" i="5"/>
  <c r="D16" i="5" s="1"/>
  <c r="B27" i="5"/>
  <c r="D27" i="5" s="1"/>
  <c r="B191" i="5"/>
  <c r="D191" i="5" s="1"/>
  <c r="B188" i="5"/>
  <c r="D188" i="5" s="1"/>
  <c r="B185" i="5"/>
  <c r="D185" i="5" s="1"/>
  <c r="B182" i="5"/>
  <c r="D182" i="5" s="1"/>
  <c r="B179" i="5"/>
  <c r="D179" i="5" s="1"/>
  <c r="B176" i="5"/>
  <c r="D176" i="5" s="1"/>
  <c r="B173" i="5"/>
  <c r="D173" i="5" s="1"/>
  <c r="B170" i="5"/>
  <c r="D170" i="5" s="1"/>
  <c r="B167" i="5"/>
  <c r="D167" i="5" s="1"/>
  <c r="B164" i="5"/>
  <c r="D164" i="5" s="1"/>
  <c r="B161" i="5"/>
  <c r="D161" i="5" s="1"/>
  <c r="B158" i="5"/>
  <c r="D158" i="5" s="1"/>
  <c r="B155" i="5"/>
  <c r="D155" i="5" s="1"/>
  <c r="B152" i="5"/>
  <c r="D152" i="5" s="1"/>
  <c r="B149" i="5"/>
  <c r="D149" i="5" s="1"/>
  <c r="B146" i="5"/>
  <c r="D146" i="5" s="1"/>
  <c r="B143" i="5"/>
  <c r="D143" i="5" s="1"/>
  <c r="B140" i="5"/>
  <c r="D140" i="5" s="1"/>
  <c r="B137" i="5"/>
  <c r="D137" i="5" s="1"/>
  <c r="B134" i="5"/>
  <c r="D134" i="5" s="1"/>
  <c r="B131" i="5"/>
  <c r="D131" i="5" s="1"/>
  <c r="B128" i="5"/>
  <c r="D128" i="5" s="1"/>
  <c r="B125" i="5"/>
  <c r="D125" i="5" s="1"/>
  <c r="B122" i="5"/>
  <c r="D122" i="5" s="1"/>
  <c r="B119" i="5"/>
  <c r="D119" i="5" s="1"/>
  <c r="B116" i="5"/>
  <c r="D116" i="5" s="1"/>
  <c r="B113" i="5"/>
  <c r="D113" i="5" s="1"/>
  <c r="B110" i="5"/>
  <c r="D110" i="5" s="1"/>
  <c r="B107" i="5"/>
  <c r="D107" i="5" s="1"/>
  <c r="B104" i="5"/>
  <c r="D104" i="5" s="1"/>
  <c r="B101" i="5"/>
  <c r="D101" i="5" s="1"/>
  <c r="B98" i="5"/>
  <c r="D98" i="5" s="1"/>
  <c r="B95" i="5"/>
  <c r="D95" i="5" s="1"/>
  <c r="B92" i="5"/>
  <c r="D92" i="5" s="1"/>
  <c r="B89" i="5"/>
  <c r="D89" i="5" s="1"/>
  <c r="B86" i="5"/>
  <c r="D86" i="5" s="1"/>
  <c r="B83" i="5"/>
  <c r="D83" i="5" s="1"/>
  <c r="B80" i="5"/>
  <c r="D80" i="5" s="1"/>
  <c r="B77" i="5"/>
  <c r="D77" i="5" s="1"/>
  <c r="B74" i="5"/>
  <c r="D74" i="5" s="1"/>
  <c r="B71" i="5"/>
  <c r="D71" i="5" s="1"/>
  <c r="B68" i="5"/>
  <c r="D68" i="5" s="1"/>
  <c r="B192" i="5"/>
  <c r="D192" i="5" s="1"/>
  <c r="B189" i="5"/>
  <c r="D189" i="5" s="1"/>
  <c r="B186" i="5"/>
  <c r="D186" i="5" s="1"/>
  <c r="B183" i="5"/>
  <c r="D183" i="5" s="1"/>
  <c r="B180" i="5"/>
  <c r="D180" i="5" s="1"/>
  <c r="B177" i="5"/>
  <c r="D177" i="5" s="1"/>
  <c r="B174" i="5"/>
  <c r="D174" i="5" s="1"/>
  <c r="B171" i="5"/>
  <c r="D171" i="5" s="1"/>
  <c r="B168" i="5"/>
  <c r="D168" i="5" s="1"/>
  <c r="B165" i="5"/>
  <c r="D165" i="5" s="1"/>
  <c r="B162" i="5"/>
  <c r="D162" i="5" s="1"/>
  <c r="B159" i="5"/>
  <c r="D159" i="5" s="1"/>
  <c r="B156" i="5"/>
  <c r="D156" i="5" s="1"/>
  <c r="B153" i="5"/>
  <c r="D153" i="5" s="1"/>
  <c r="B150" i="5"/>
  <c r="D150" i="5" s="1"/>
  <c r="B147" i="5"/>
  <c r="D147" i="5" s="1"/>
  <c r="B144" i="5"/>
  <c r="D144" i="5" s="1"/>
  <c r="B141" i="5"/>
  <c r="D141" i="5" s="1"/>
  <c r="B138" i="5"/>
  <c r="D138" i="5" s="1"/>
  <c r="B135" i="5"/>
  <c r="D135" i="5" s="1"/>
  <c r="B132" i="5"/>
  <c r="D132" i="5" s="1"/>
  <c r="B129" i="5"/>
  <c r="D129" i="5" s="1"/>
  <c r="B126" i="5"/>
  <c r="D126" i="5" s="1"/>
  <c r="B123" i="5"/>
  <c r="D123" i="5" s="1"/>
  <c r="B120" i="5"/>
  <c r="D120" i="5" s="1"/>
  <c r="B117" i="5"/>
  <c r="D117" i="5" s="1"/>
  <c r="B114" i="5"/>
  <c r="D114" i="5" s="1"/>
  <c r="B111" i="5"/>
  <c r="D111" i="5" s="1"/>
  <c r="B108" i="5"/>
  <c r="D108" i="5" s="1"/>
  <c r="B105" i="5"/>
  <c r="D105" i="5" s="1"/>
  <c r="B102" i="5"/>
  <c r="D102" i="5" s="1"/>
  <c r="B99" i="5"/>
  <c r="D99" i="5" s="1"/>
  <c r="B96" i="5"/>
  <c r="D96" i="5" s="1"/>
  <c r="H4" i="6"/>
  <c r="B190" i="5"/>
  <c r="D190" i="5" s="1"/>
  <c r="B187" i="5"/>
  <c r="D187" i="5" s="1"/>
  <c r="B184" i="5"/>
  <c r="D184" i="5" s="1"/>
  <c r="B181" i="5"/>
  <c r="D181" i="5" s="1"/>
  <c r="B178" i="5"/>
  <c r="D178" i="5" s="1"/>
  <c r="B175" i="5"/>
  <c r="D175" i="5" s="1"/>
  <c r="B172" i="5"/>
  <c r="D172" i="5" s="1"/>
  <c r="B169" i="5"/>
  <c r="D169" i="5" s="1"/>
  <c r="B166" i="5"/>
  <c r="D166" i="5" s="1"/>
  <c r="B163" i="5"/>
  <c r="D163" i="5" s="1"/>
  <c r="B160" i="5"/>
  <c r="D160" i="5" s="1"/>
  <c r="B157" i="5"/>
  <c r="D157" i="5" s="1"/>
  <c r="B154" i="5"/>
  <c r="D154" i="5" s="1"/>
  <c r="B151" i="5"/>
  <c r="D151" i="5" s="1"/>
  <c r="B148" i="5"/>
  <c r="D148" i="5" s="1"/>
  <c r="B145" i="5"/>
  <c r="D145" i="5" s="1"/>
  <c r="B142" i="5"/>
  <c r="D142" i="5" s="1"/>
  <c r="B139" i="5"/>
  <c r="D139" i="5" s="1"/>
  <c r="B136" i="5"/>
  <c r="D136" i="5" s="1"/>
  <c r="B133" i="5"/>
  <c r="D133" i="5" s="1"/>
  <c r="B130" i="5"/>
  <c r="D130" i="5" s="1"/>
  <c r="B127" i="5"/>
  <c r="D127" i="5" s="1"/>
  <c r="B124" i="5"/>
  <c r="D124" i="5" s="1"/>
  <c r="B121" i="5"/>
  <c r="D121" i="5" s="1"/>
  <c r="B118" i="5"/>
  <c r="D118" i="5" s="1"/>
  <c r="B115" i="5"/>
  <c r="D115" i="5" s="1"/>
  <c r="B112" i="5"/>
  <c r="D112" i="5" s="1"/>
  <c r="B109" i="5"/>
  <c r="D109" i="5" s="1"/>
  <c r="B106" i="5"/>
  <c r="D106" i="5" s="1"/>
  <c r="B103" i="5"/>
  <c r="D103" i="5" s="1"/>
  <c r="B82" i="5"/>
  <c r="D82" i="5" s="1"/>
  <c r="B97" i="5"/>
  <c r="D97" i="5" s="1"/>
  <c r="B90" i="5"/>
  <c r="D90" i="5" s="1"/>
  <c r="B72" i="5"/>
  <c r="D72" i="5" s="1"/>
  <c r="B93" i="5"/>
  <c r="D93" i="5" s="1"/>
  <c r="B75" i="5"/>
  <c r="D75" i="5" s="1"/>
  <c r="B88" i="5"/>
  <c r="D88" i="5" s="1"/>
  <c r="B85" i="5"/>
  <c r="D85" i="5" s="1"/>
  <c r="B69" i="5"/>
  <c r="D69" i="5" s="1"/>
  <c r="B65" i="5"/>
  <c r="D65" i="5" s="1"/>
  <c r="B56" i="5"/>
  <c r="D56" i="5" s="1"/>
  <c r="B47" i="5"/>
  <c r="D47" i="5" s="1"/>
  <c r="B38" i="5"/>
  <c r="D38" i="5" s="1"/>
  <c r="B29" i="5"/>
  <c r="D29" i="5" s="1"/>
  <c r="B20" i="5"/>
  <c r="D20" i="5" s="1"/>
  <c r="B13" i="5"/>
  <c r="D13" i="5" s="1"/>
  <c r="B10" i="5"/>
  <c r="D10" i="5" s="1"/>
  <c r="B7" i="5"/>
  <c r="D7" i="5" s="1"/>
  <c r="B4" i="5"/>
  <c r="D4" i="5" s="1"/>
  <c r="B87" i="5"/>
  <c r="D87" i="5" s="1"/>
  <c r="B63" i="5"/>
  <c r="D63" i="5" s="1"/>
  <c r="B61" i="5"/>
  <c r="D61" i="5" s="1"/>
  <c r="B54" i="5"/>
  <c r="D54" i="5" s="1"/>
  <c r="B94" i="5"/>
  <c r="D94" i="5" s="1"/>
  <c r="B100" i="5"/>
  <c r="D100" i="5" s="1"/>
  <c r="B84" i="5"/>
  <c r="D84" i="5" s="1"/>
  <c r="B70" i="5"/>
  <c r="D70" i="5" s="1"/>
  <c r="B59" i="5"/>
  <c r="D59" i="5" s="1"/>
  <c r="B50" i="5"/>
  <c r="D50" i="5" s="1"/>
  <c r="B41" i="5"/>
  <c r="D41" i="5" s="1"/>
  <c r="B32" i="5"/>
  <c r="D32" i="5" s="1"/>
  <c r="B23" i="5"/>
  <c r="D23" i="5" s="1"/>
  <c r="B14" i="5"/>
  <c r="D14" i="5" s="1"/>
  <c r="B11" i="5"/>
  <c r="D11" i="5" s="1"/>
  <c r="B8" i="5"/>
  <c r="D8" i="5" s="1"/>
  <c r="B5" i="5"/>
  <c r="D5" i="5" s="1"/>
  <c r="B2" i="5"/>
  <c r="D2" i="5" s="1"/>
  <c r="B91" i="5"/>
  <c r="D91" i="5" s="1"/>
  <c r="B79" i="5"/>
  <c r="D79" i="5" s="1"/>
  <c r="B76" i="5"/>
  <c r="D76" i="5" s="1"/>
  <c r="B78" i="5"/>
  <c r="D78" i="5" s="1"/>
  <c r="B62" i="5"/>
  <c r="D62" i="5" s="1"/>
  <c r="B53" i="5"/>
  <c r="D53" i="5" s="1"/>
  <c r="B44" i="5"/>
  <c r="D44" i="5" s="1"/>
  <c r="B35" i="5"/>
  <c r="D35" i="5" s="1"/>
  <c r="B26" i="5"/>
  <c r="D26" i="5" s="1"/>
  <c r="B17" i="5"/>
  <c r="D17" i="5" s="1"/>
  <c r="B12" i="5"/>
  <c r="D12" i="5" s="1"/>
  <c r="B9" i="5"/>
  <c r="D9" i="5" s="1"/>
  <c r="B6" i="5"/>
  <c r="D6" i="5" s="1"/>
  <c r="B3" i="5"/>
  <c r="D3" i="5" s="1"/>
  <c r="B73" i="5"/>
  <c r="D73" i="5" s="1"/>
  <c r="B67" i="5"/>
  <c r="D67" i="5" s="1"/>
  <c r="B60" i="5"/>
  <c r="D60" i="5" s="1"/>
  <c r="B58" i="5"/>
  <c r="D58" i="5" s="1"/>
  <c r="B51" i="5"/>
  <c r="D51" i="5" s="1"/>
  <c r="B49" i="5"/>
  <c r="D49" i="5" s="1"/>
  <c r="B42" i="5"/>
  <c r="D42" i="5" s="1"/>
  <c r="B40" i="5"/>
  <c r="D40" i="5" s="1"/>
  <c r="B33" i="5"/>
  <c r="D33" i="5" s="1"/>
  <c r="B31" i="5"/>
  <c r="D31" i="5" s="1"/>
  <c r="B24" i="5"/>
  <c r="D24" i="5" s="1"/>
  <c r="B22" i="5"/>
  <c r="D22" i="5" s="1"/>
  <c r="B15" i="5"/>
  <c r="D15" i="5" s="1"/>
  <c r="H5" i="6"/>
  <c r="C192" i="5"/>
  <c r="E192" i="5" s="1"/>
  <c r="C189" i="5"/>
  <c r="E189" i="5" s="1"/>
  <c r="C186" i="5"/>
  <c r="E186" i="5" s="1"/>
  <c r="C183" i="5"/>
  <c r="E183" i="5" s="1"/>
  <c r="C180" i="5"/>
  <c r="E180" i="5" s="1"/>
  <c r="C177" i="5"/>
  <c r="E177" i="5" s="1"/>
  <c r="C174" i="5"/>
  <c r="E174" i="5" s="1"/>
  <c r="C171" i="5"/>
  <c r="E171" i="5" s="1"/>
  <c r="C168" i="5"/>
  <c r="E168" i="5" s="1"/>
  <c r="C165" i="5"/>
  <c r="E165" i="5" s="1"/>
  <c r="C162" i="5"/>
  <c r="E162" i="5" s="1"/>
  <c r="C159" i="5"/>
  <c r="E159" i="5" s="1"/>
  <c r="C156" i="5"/>
  <c r="E156" i="5" s="1"/>
  <c r="C153" i="5"/>
  <c r="E153" i="5" s="1"/>
  <c r="C150" i="5"/>
  <c r="E150" i="5" s="1"/>
  <c r="C147" i="5"/>
  <c r="E147" i="5" s="1"/>
  <c r="C144" i="5"/>
  <c r="E144" i="5" s="1"/>
  <c r="C141" i="5"/>
  <c r="E141" i="5" s="1"/>
  <c r="C138" i="5"/>
  <c r="E138" i="5" s="1"/>
  <c r="C135" i="5"/>
  <c r="E135" i="5" s="1"/>
  <c r="C132" i="5"/>
  <c r="E132" i="5" s="1"/>
  <c r="C129" i="5"/>
  <c r="E129" i="5" s="1"/>
  <c r="C126" i="5"/>
  <c r="E126" i="5" s="1"/>
  <c r="C123" i="5"/>
  <c r="E123" i="5" s="1"/>
  <c r="C120" i="5"/>
  <c r="E120" i="5" s="1"/>
  <c r="C117" i="5"/>
  <c r="E117" i="5" s="1"/>
  <c r="C114" i="5"/>
  <c r="E114" i="5" s="1"/>
  <c r="C111" i="5"/>
  <c r="E111" i="5" s="1"/>
  <c r="C108" i="5"/>
  <c r="E108" i="5" s="1"/>
  <c r="C105" i="5"/>
  <c r="E105" i="5" s="1"/>
  <c r="C102" i="5"/>
  <c r="E102" i="5" s="1"/>
  <c r="C99" i="5"/>
  <c r="E99" i="5" s="1"/>
  <c r="C175" i="5"/>
  <c r="E175" i="5" s="1"/>
  <c r="C182" i="5"/>
  <c r="E182" i="5" s="1"/>
  <c r="C164" i="5"/>
  <c r="E164" i="5" s="1"/>
  <c r="C104" i="5"/>
  <c r="E104" i="5" s="1"/>
  <c r="C97" i="5"/>
  <c r="E97" i="5" s="1"/>
  <c r="C95" i="5"/>
  <c r="E95" i="5" s="1"/>
  <c r="C90" i="5"/>
  <c r="E90" i="5" s="1"/>
  <c r="C77" i="5"/>
  <c r="E77" i="5" s="1"/>
  <c r="C72" i="5"/>
  <c r="E72" i="5" s="1"/>
  <c r="C178" i="5"/>
  <c r="E178" i="5" s="1"/>
  <c r="C160" i="5"/>
  <c r="E160" i="5" s="1"/>
  <c r="C109" i="5"/>
  <c r="E109" i="5" s="1"/>
  <c r="C85" i="5"/>
  <c r="E85" i="5" s="1"/>
  <c r="C67" i="5"/>
  <c r="E67" i="5" s="1"/>
  <c r="C64" i="5"/>
  <c r="E64" i="5" s="1"/>
  <c r="C61" i="5"/>
  <c r="E61" i="5" s="1"/>
  <c r="C58" i="5"/>
  <c r="E58" i="5" s="1"/>
  <c r="C55" i="5"/>
  <c r="E55" i="5" s="1"/>
  <c r="C52" i="5"/>
  <c r="E52" i="5" s="1"/>
  <c r="C49" i="5"/>
  <c r="E49" i="5" s="1"/>
  <c r="C46" i="5"/>
  <c r="E46" i="5" s="1"/>
  <c r="C43" i="5"/>
  <c r="E43" i="5" s="1"/>
  <c r="C40" i="5"/>
  <c r="E40" i="5" s="1"/>
  <c r="C37" i="5"/>
  <c r="E37" i="5" s="1"/>
  <c r="C34" i="5"/>
  <c r="E34" i="5" s="1"/>
  <c r="C31" i="5"/>
  <c r="E31" i="5" s="1"/>
  <c r="C28" i="5"/>
  <c r="E28" i="5" s="1"/>
  <c r="C25" i="5"/>
  <c r="E25" i="5" s="1"/>
  <c r="C22" i="5"/>
  <c r="E22" i="5" s="1"/>
  <c r="C19" i="5"/>
  <c r="E19" i="5" s="1"/>
  <c r="C16" i="5"/>
  <c r="E16" i="5" s="1"/>
  <c r="C181" i="5"/>
  <c r="E181" i="5" s="1"/>
  <c r="C163" i="5"/>
  <c r="E163" i="5" s="1"/>
  <c r="C149" i="5"/>
  <c r="E149" i="5" s="1"/>
  <c r="C146" i="5"/>
  <c r="E146" i="5" s="1"/>
  <c r="C143" i="5"/>
  <c r="E143" i="5" s="1"/>
  <c r="C140" i="5"/>
  <c r="E140" i="5" s="1"/>
  <c r="C137" i="5"/>
  <c r="E137" i="5" s="1"/>
  <c r="C134" i="5"/>
  <c r="E134" i="5" s="1"/>
  <c r="C131" i="5"/>
  <c r="E131" i="5" s="1"/>
  <c r="C128" i="5"/>
  <c r="E128" i="5" s="1"/>
  <c r="C125" i="5"/>
  <c r="E125" i="5" s="1"/>
  <c r="C122" i="5"/>
  <c r="E122" i="5" s="1"/>
  <c r="C119" i="5"/>
  <c r="E119" i="5" s="1"/>
  <c r="C106" i="5"/>
  <c r="E106" i="5" s="1"/>
  <c r="C101" i="5"/>
  <c r="E101" i="5" s="1"/>
  <c r="C88" i="5"/>
  <c r="E88" i="5" s="1"/>
  <c r="C188" i="5"/>
  <c r="E188" i="5" s="1"/>
  <c r="C170" i="5"/>
  <c r="E170" i="5" s="1"/>
  <c r="C152" i="5"/>
  <c r="E152" i="5" s="1"/>
  <c r="C116" i="5"/>
  <c r="E116" i="5" s="1"/>
  <c r="C83" i="5"/>
  <c r="E83" i="5" s="1"/>
  <c r="C78" i="5"/>
  <c r="E78" i="5" s="1"/>
  <c r="C158" i="5"/>
  <c r="E158" i="5" s="1"/>
  <c r="C80" i="5"/>
  <c r="E80" i="5" s="1"/>
  <c r="C75" i="5"/>
  <c r="E75" i="5" s="1"/>
  <c r="C65" i="5"/>
  <c r="E65" i="5" s="1"/>
  <c r="C56" i="5"/>
  <c r="E56" i="5" s="1"/>
  <c r="C47" i="5"/>
  <c r="E47" i="5" s="1"/>
  <c r="C38" i="5"/>
  <c r="E38" i="5" s="1"/>
  <c r="C29" i="5"/>
  <c r="E29" i="5" s="1"/>
  <c r="C20" i="5"/>
  <c r="E20" i="5" s="1"/>
  <c r="C13" i="5"/>
  <c r="E13" i="5" s="1"/>
  <c r="C10" i="5"/>
  <c r="E10" i="5" s="1"/>
  <c r="C7" i="5"/>
  <c r="E7" i="5" s="1"/>
  <c r="C4" i="5"/>
  <c r="E4" i="5" s="1"/>
  <c r="C173" i="5"/>
  <c r="E173" i="5" s="1"/>
  <c r="C92" i="5"/>
  <c r="E92" i="5" s="1"/>
  <c r="C87" i="5"/>
  <c r="E87" i="5" s="1"/>
  <c r="C63" i="5"/>
  <c r="E63" i="5" s="1"/>
  <c r="C54" i="5"/>
  <c r="E54" i="5" s="1"/>
  <c r="C45" i="5"/>
  <c r="E45" i="5" s="1"/>
  <c r="C36" i="5"/>
  <c r="E36" i="5" s="1"/>
  <c r="C27" i="5"/>
  <c r="E27" i="5" s="1"/>
  <c r="C18" i="5"/>
  <c r="E18" i="5" s="1"/>
  <c r="C191" i="5"/>
  <c r="E191" i="5" s="1"/>
  <c r="C185" i="5"/>
  <c r="E185" i="5" s="1"/>
  <c r="C157" i="5"/>
  <c r="E157" i="5" s="1"/>
  <c r="C151" i="5"/>
  <c r="E151" i="5" s="1"/>
  <c r="C142" i="5"/>
  <c r="E142" i="5" s="1"/>
  <c r="C133" i="5"/>
  <c r="E133" i="5" s="1"/>
  <c r="C124" i="5"/>
  <c r="E124" i="5" s="1"/>
  <c r="C112" i="5"/>
  <c r="E112" i="5" s="1"/>
  <c r="C94" i="5"/>
  <c r="E94" i="5" s="1"/>
  <c r="C82" i="5"/>
  <c r="E82" i="5" s="1"/>
  <c r="C184" i="5"/>
  <c r="E184" i="5" s="1"/>
  <c r="C179" i="5"/>
  <c r="E179" i="5" s="1"/>
  <c r="C167" i="5"/>
  <c r="E167" i="5" s="1"/>
  <c r="C100" i="5"/>
  <c r="E100" i="5" s="1"/>
  <c r="C89" i="5"/>
  <c r="E89" i="5" s="1"/>
  <c r="C84" i="5"/>
  <c r="E84" i="5" s="1"/>
  <c r="C70" i="5"/>
  <c r="E70" i="5" s="1"/>
  <c r="C59" i="5"/>
  <c r="E59" i="5" s="1"/>
  <c r="C50" i="5"/>
  <c r="E50" i="5" s="1"/>
  <c r="C41" i="5"/>
  <c r="E41" i="5" s="1"/>
  <c r="C32" i="5"/>
  <c r="E32" i="5" s="1"/>
  <c r="C23" i="5"/>
  <c r="E23" i="5" s="1"/>
  <c r="C14" i="5"/>
  <c r="E14" i="5" s="1"/>
  <c r="C11" i="5"/>
  <c r="E11" i="5" s="1"/>
  <c r="C8" i="5"/>
  <c r="E8" i="5" s="1"/>
  <c r="C5" i="5"/>
  <c r="E5" i="5" s="1"/>
  <c r="C2" i="5"/>
  <c r="E2" i="5" s="1"/>
  <c r="C172" i="5"/>
  <c r="E172" i="5" s="1"/>
  <c r="C166" i="5"/>
  <c r="E166" i="5" s="1"/>
  <c r="C115" i="5"/>
  <c r="E115" i="5" s="1"/>
  <c r="C103" i="5"/>
  <c r="E103" i="5" s="1"/>
  <c r="C91" i="5"/>
  <c r="E91" i="5" s="1"/>
  <c r="C79" i="5"/>
  <c r="E79" i="5" s="1"/>
  <c r="C68" i="5"/>
  <c r="E68" i="5" s="1"/>
  <c r="C190" i="5"/>
  <c r="E190" i="5" s="1"/>
  <c r="C161" i="5"/>
  <c r="E161" i="5" s="1"/>
  <c r="C155" i="5"/>
  <c r="E155" i="5" s="1"/>
  <c r="C107" i="5"/>
  <c r="E107" i="5" s="1"/>
  <c r="C96" i="5"/>
  <c r="E96" i="5" s="1"/>
  <c r="C86" i="5"/>
  <c r="E86" i="5" s="1"/>
  <c r="C81" i="5"/>
  <c r="E81" i="5" s="1"/>
  <c r="C74" i="5"/>
  <c r="E74" i="5" s="1"/>
  <c r="C66" i="5"/>
  <c r="E66" i="5" s="1"/>
  <c r="C57" i="5"/>
  <c r="E57" i="5" s="1"/>
  <c r="C48" i="5"/>
  <c r="E48" i="5" s="1"/>
  <c r="C39" i="5"/>
  <c r="E39" i="5" s="1"/>
  <c r="C30" i="5"/>
  <c r="E30" i="5" s="1"/>
  <c r="C21" i="5"/>
  <c r="E21" i="5" s="1"/>
  <c r="C110" i="5"/>
  <c r="E110" i="5" s="1"/>
  <c r="C93" i="5"/>
  <c r="E93" i="5" s="1"/>
  <c r="C62" i="5"/>
  <c r="E62" i="5" s="1"/>
  <c r="C53" i="5"/>
  <c r="E53" i="5" s="1"/>
  <c r="C44" i="5"/>
  <c r="E44" i="5" s="1"/>
  <c r="C35" i="5"/>
  <c r="E35" i="5" s="1"/>
  <c r="C26" i="5"/>
  <c r="E26" i="5" s="1"/>
  <c r="C17" i="5"/>
  <c r="E17" i="5" s="1"/>
  <c r="C12" i="5"/>
  <c r="E12" i="5" s="1"/>
  <c r="C9" i="5"/>
  <c r="E9" i="5" s="1"/>
  <c r="C6" i="5"/>
  <c r="E6" i="5" s="1"/>
  <c r="C3" i="5"/>
  <c r="E3" i="5" s="1"/>
  <c r="C176" i="5"/>
  <c r="E176" i="5" s="1"/>
  <c r="C154" i="5"/>
  <c r="E154" i="5" s="1"/>
  <c r="C113" i="5"/>
  <c r="E113" i="5" s="1"/>
  <c r="C73" i="5"/>
  <c r="E73" i="5" s="1"/>
  <c r="C60" i="5"/>
  <c r="E60" i="5" s="1"/>
  <c r="C51" i="5"/>
  <c r="E51" i="5" s="1"/>
  <c r="C42" i="5"/>
  <c r="E42" i="5" s="1"/>
  <c r="C33" i="5"/>
  <c r="E33" i="5" s="1"/>
  <c r="C24" i="5"/>
  <c r="E24" i="5" s="1"/>
  <c r="C15" i="5"/>
  <c r="E15" i="5" s="1"/>
  <c r="C187" i="5"/>
  <c r="E187" i="5" s="1"/>
  <c r="C169" i="5"/>
  <c r="E169" i="5" s="1"/>
  <c r="C148" i="5"/>
  <c r="E148" i="5" s="1"/>
  <c r="C139" i="5"/>
  <c r="E139" i="5" s="1"/>
  <c r="C130" i="5"/>
  <c r="E130" i="5" s="1"/>
  <c r="C121" i="5"/>
  <c r="E121" i="5" s="1"/>
  <c r="C98" i="5"/>
  <c r="E98" i="5" s="1"/>
  <c r="C71" i="5"/>
  <c r="E71" i="5" s="1"/>
  <c r="C69" i="5"/>
  <c r="E69" i="5" s="1"/>
  <c r="B5" i="6"/>
  <c r="B4" i="4"/>
  <c r="E6" i="3"/>
  <c r="F6" i="3" s="1"/>
  <c r="E5" i="3"/>
  <c r="F5" i="3" s="1"/>
  <c r="E4" i="3"/>
  <c r="F4" i="3" s="1"/>
  <c r="B55" i="5"/>
  <c r="D55" i="5" s="1"/>
  <c r="H10" i="3"/>
  <c r="G10" i="3"/>
  <c r="B48" i="5"/>
  <c r="D48" i="5" s="1"/>
  <c r="H3" i="3"/>
  <c r="G3" i="3"/>
  <c r="B28" i="5"/>
  <c r="D28" i="5" s="1"/>
  <c r="B39" i="5"/>
  <c r="D39" i="5" s="1"/>
  <c r="C145" i="5"/>
  <c r="E145" i="5" s="1"/>
  <c r="B18" i="5"/>
  <c r="D18" i="5" s="1"/>
  <c r="E7" i="3"/>
  <c r="F7" i="3" s="1"/>
  <c r="B45" i="5"/>
  <c r="D45" i="5" s="1"/>
  <c r="H2" i="3"/>
  <c r="G2" i="3"/>
  <c r="B19" i="5"/>
  <c r="D19" i="5" s="1"/>
  <c r="B30" i="5"/>
  <c r="D30" i="5" s="1"/>
  <c r="D12" i="3"/>
  <c r="B5" i="4"/>
  <c r="G12" i="3" l="1"/>
  <c r="H12" i="3"/>
  <c r="B9" i="4"/>
  <c r="H7" i="3"/>
  <c r="G7" i="3"/>
  <c r="E5" i="6"/>
  <c r="B8" i="4"/>
  <c r="B10" i="4" s="1"/>
  <c r="H6" i="6"/>
  <c r="G4" i="3"/>
  <c r="H4" i="3"/>
  <c r="H5" i="3"/>
  <c r="G5" i="3"/>
  <c r="G14" i="3" s="1"/>
  <c r="H6" i="3"/>
  <c r="G6" i="3"/>
  <c r="H14" i="3" l="1"/>
  <c r="G9" i="1"/>
  <c r="F192" i="5" l="1"/>
  <c r="G192" i="5" s="1"/>
  <c r="F189" i="5"/>
  <c r="G189" i="5" s="1"/>
  <c r="F186" i="5"/>
  <c r="G186" i="5" s="1"/>
  <c r="F183" i="5"/>
  <c r="G183" i="5" s="1"/>
  <c r="F180" i="5"/>
  <c r="G180" i="5" s="1"/>
  <c r="F177" i="5"/>
  <c r="G177" i="5" s="1"/>
  <c r="F174" i="5"/>
  <c r="G174" i="5" s="1"/>
  <c r="F171" i="5"/>
  <c r="G171" i="5" s="1"/>
  <c r="F168" i="5"/>
  <c r="G168" i="5" s="1"/>
  <c r="F165" i="5"/>
  <c r="G165" i="5" s="1"/>
  <c r="F162" i="5"/>
  <c r="G162" i="5" s="1"/>
  <c r="F159" i="5"/>
  <c r="G159" i="5" s="1"/>
  <c r="F156" i="5"/>
  <c r="G156" i="5" s="1"/>
  <c r="F153" i="5"/>
  <c r="G153" i="5" s="1"/>
  <c r="F150" i="5"/>
  <c r="G150" i="5" s="1"/>
  <c r="F147" i="5"/>
  <c r="G147" i="5" s="1"/>
  <c r="F144" i="5"/>
  <c r="G144" i="5" s="1"/>
  <c r="F141" i="5"/>
  <c r="G141" i="5" s="1"/>
  <c r="F138" i="5"/>
  <c r="G138" i="5" s="1"/>
  <c r="F135" i="5"/>
  <c r="G135" i="5" s="1"/>
  <c r="F132" i="5"/>
  <c r="G132" i="5" s="1"/>
  <c r="F129" i="5"/>
  <c r="G129" i="5" s="1"/>
  <c r="F126" i="5"/>
  <c r="G126" i="5" s="1"/>
  <c r="F123" i="5"/>
  <c r="G123" i="5" s="1"/>
  <c r="F120" i="5"/>
  <c r="G120" i="5" s="1"/>
  <c r="F117" i="5"/>
  <c r="G117" i="5" s="1"/>
  <c r="F114" i="5"/>
  <c r="G114" i="5" s="1"/>
  <c r="F111" i="5"/>
  <c r="G111" i="5" s="1"/>
  <c r="F108" i="5"/>
  <c r="G108" i="5" s="1"/>
  <c r="F105" i="5"/>
  <c r="G105" i="5" s="1"/>
  <c r="F102" i="5"/>
  <c r="G102" i="5" s="1"/>
  <c r="F99" i="5"/>
  <c r="G99" i="5" s="1"/>
  <c r="F96" i="5"/>
  <c r="G96" i="5" s="1"/>
  <c r="F93" i="5"/>
  <c r="G93" i="5" s="1"/>
  <c r="F90" i="5"/>
  <c r="G90" i="5" s="1"/>
  <c r="F87" i="5"/>
  <c r="G87" i="5" s="1"/>
  <c r="F84" i="5"/>
  <c r="G84" i="5" s="1"/>
  <c r="F81" i="5"/>
  <c r="G81" i="5" s="1"/>
  <c r="F78" i="5"/>
  <c r="G78" i="5" s="1"/>
  <c r="F75" i="5"/>
  <c r="G75" i="5" s="1"/>
  <c r="F72" i="5"/>
  <c r="G72" i="5" s="1"/>
  <c r="F69" i="5"/>
  <c r="G69" i="5" s="1"/>
  <c r="E6" i="6"/>
  <c r="F190" i="5"/>
  <c r="G190" i="5" s="1"/>
  <c r="F187" i="5"/>
  <c r="G187" i="5" s="1"/>
  <c r="F184" i="5"/>
  <c r="G184" i="5" s="1"/>
  <c r="F181" i="5"/>
  <c r="G181" i="5" s="1"/>
  <c r="F178" i="5"/>
  <c r="G178" i="5" s="1"/>
  <c r="F175" i="5"/>
  <c r="G175" i="5" s="1"/>
  <c r="F172" i="5"/>
  <c r="G172" i="5" s="1"/>
  <c r="F169" i="5"/>
  <c r="G169" i="5" s="1"/>
  <c r="F166" i="5"/>
  <c r="G166" i="5" s="1"/>
  <c r="F163" i="5"/>
  <c r="G163" i="5" s="1"/>
  <c r="F160" i="5"/>
  <c r="G160" i="5" s="1"/>
  <c r="F157" i="5"/>
  <c r="G157" i="5" s="1"/>
  <c r="F154" i="5"/>
  <c r="G154" i="5" s="1"/>
  <c r="F151" i="5"/>
  <c r="G151" i="5" s="1"/>
  <c r="F148" i="5"/>
  <c r="G148" i="5" s="1"/>
  <c r="F145" i="5"/>
  <c r="G145" i="5" s="1"/>
  <c r="F142" i="5"/>
  <c r="G142" i="5" s="1"/>
  <c r="F139" i="5"/>
  <c r="G139" i="5" s="1"/>
  <c r="F136" i="5"/>
  <c r="G136" i="5" s="1"/>
  <c r="F133" i="5"/>
  <c r="G133" i="5" s="1"/>
  <c r="F130" i="5"/>
  <c r="G130" i="5" s="1"/>
  <c r="F127" i="5"/>
  <c r="G127" i="5" s="1"/>
  <c r="F124" i="5"/>
  <c r="G124" i="5" s="1"/>
  <c r="F121" i="5"/>
  <c r="G121" i="5" s="1"/>
  <c r="F118" i="5"/>
  <c r="G118" i="5" s="1"/>
  <c r="F115" i="5"/>
  <c r="G115" i="5" s="1"/>
  <c r="F112" i="5"/>
  <c r="G112" i="5" s="1"/>
  <c r="F109" i="5"/>
  <c r="G109" i="5" s="1"/>
  <c r="F106" i="5"/>
  <c r="G106" i="5" s="1"/>
  <c r="F103" i="5"/>
  <c r="G103" i="5" s="1"/>
  <c r="F100" i="5"/>
  <c r="G100" i="5" s="1"/>
  <c r="F97" i="5"/>
  <c r="G97" i="5" s="1"/>
  <c r="F191" i="5"/>
  <c r="G191" i="5" s="1"/>
  <c r="F188" i="5"/>
  <c r="G188" i="5" s="1"/>
  <c r="F185" i="5"/>
  <c r="G185" i="5" s="1"/>
  <c r="F182" i="5"/>
  <c r="G182" i="5" s="1"/>
  <c r="F179" i="5"/>
  <c r="G179" i="5" s="1"/>
  <c r="F176" i="5"/>
  <c r="G176" i="5" s="1"/>
  <c r="F173" i="5"/>
  <c r="G173" i="5" s="1"/>
  <c r="F170" i="5"/>
  <c r="G170" i="5" s="1"/>
  <c r="F167" i="5"/>
  <c r="G167" i="5" s="1"/>
  <c r="F164" i="5"/>
  <c r="G164" i="5" s="1"/>
  <c r="F161" i="5"/>
  <c r="G161" i="5" s="1"/>
  <c r="F158" i="5"/>
  <c r="G158" i="5" s="1"/>
  <c r="F155" i="5"/>
  <c r="G155" i="5" s="1"/>
  <c r="F152" i="5"/>
  <c r="G152" i="5" s="1"/>
  <c r="F149" i="5"/>
  <c r="G149" i="5" s="1"/>
  <c r="F146" i="5"/>
  <c r="G146" i="5" s="1"/>
  <c r="F143" i="5"/>
  <c r="G143" i="5" s="1"/>
  <c r="F140" i="5"/>
  <c r="G140" i="5" s="1"/>
  <c r="F137" i="5"/>
  <c r="G137" i="5" s="1"/>
  <c r="F134" i="5"/>
  <c r="G134" i="5" s="1"/>
  <c r="F131" i="5"/>
  <c r="G131" i="5" s="1"/>
  <c r="F128" i="5"/>
  <c r="G128" i="5" s="1"/>
  <c r="F125" i="5"/>
  <c r="G125" i="5" s="1"/>
  <c r="F122" i="5"/>
  <c r="G122" i="5" s="1"/>
  <c r="F119" i="5"/>
  <c r="G119" i="5" s="1"/>
  <c r="F116" i="5"/>
  <c r="G116" i="5" s="1"/>
  <c r="F113" i="5"/>
  <c r="G113" i="5" s="1"/>
  <c r="F110" i="5"/>
  <c r="G110" i="5" s="1"/>
  <c r="F107" i="5"/>
  <c r="G107" i="5" s="1"/>
  <c r="F104" i="5"/>
  <c r="G104" i="5" s="1"/>
  <c r="F88" i="5"/>
  <c r="G88" i="5" s="1"/>
  <c r="F70" i="5"/>
  <c r="G70" i="5" s="1"/>
  <c r="F101" i="5"/>
  <c r="G101" i="5" s="1"/>
  <c r="F83" i="5"/>
  <c r="G83" i="5" s="1"/>
  <c r="F86" i="5"/>
  <c r="G86" i="5" s="1"/>
  <c r="F94" i="5"/>
  <c r="G94" i="5" s="1"/>
  <c r="F76" i="5"/>
  <c r="G76" i="5" s="1"/>
  <c r="F82" i="5"/>
  <c r="G82" i="5" s="1"/>
  <c r="F89" i="5"/>
  <c r="G89" i="5" s="1"/>
  <c r="F77" i="5"/>
  <c r="G77" i="5" s="1"/>
  <c r="F61" i="5"/>
  <c r="G61" i="5" s="1"/>
  <c r="F59" i="5"/>
  <c r="G59" i="5" s="1"/>
  <c r="F52" i="5"/>
  <c r="G52" i="5" s="1"/>
  <c r="F50" i="5"/>
  <c r="G50" i="5" s="1"/>
  <c r="F43" i="5"/>
  <c r="G43" i="5" s="1"/>
  <c r="F41" i="5"/>
  <c r="G41" i="5" s="1"/>
  <c r="F34" i="5"/>
  <c r="G34" i="5" s="1"/>
  <c r="F32" i="5"/>
  <c r="G32" i="5" s="1"/>
  <c r="F25" i="5"/>
  <c r="G25" i="5" s="1"/>
  <c r="F23" i="5"/>
  <c r="G23" i="5" s="1"/>
  <c r="F16" i="5"/>
  <c r="G16" i="5" s="1"/>
  <c r="F14" i="5"/>
  <c r="G14" i="5" s="1"/>
  <c r="F11" i="5"/>
  <c r="G11" i="5" s="1"/>
  <c r="F8" i="5"/>
  <c r="G8" i="5" s="1"/>
  <c r="F5" i="5"/>
  <c r="G5" i="5" s="1"/>
  <c r="F2" i="5"/>
  <c r="G2" i="5" s="1"/>
  <c r="F79" i="5"/>
  <c r="G79" i="5" s="1"/>
  <c r="F68" i="5"/>
  <c r="G68" i="5" s="1"/>
  <c r="F74" i="5"/>
  <c r="G74" i="5" s="1"/>
  <c r="F66" i="5"/>
  <c r="G66" i="5" s="1"/>
  <c r="F57" i="5"/>
  <c r="G57" i="5" s="1"/>
  <c r="F91" i="5"/>
  <c r="G91" i="5" s="1"/>
  <c r="F64" i="5"/>
  <c r="G64" i="5" s="1"/>
  <c r="F62" i="5"/>
  <c r="G62" i="5" s="1"/>
  <c r="F55" i="5"/>
  <c r="G55" i="5" s="1"/>
  <c r="F53" i="5"/>
  <c r="G53" i="5" s="1"/>
  <c r="F46" i="5"/>
  <c r="G46" i="5" s="1"/>
  <c r="F44" i="5"/>
  <c r="G44" i="5" s="1"/>
  <c r="F37" i="5"/>
  <c r="G37" i="5" s="1"/>
  <c r="F35" i="5"/>
  <c r="G35" i="5" s="1"/>
  <c r="F28" i="5"/>
  <c r="G28" i="5" s="1"/>
  <c r="F26" i="5"/>
  <c r="G26" i="5" s="1"/>
  <c r="F19" i="5"/>
  <c r="G19" i="5" s="1"/>
  <c r="F17" i="5"/>
  <c r="G17" i="5" s="1"/>
  <c r="F12" i="5"/>
  <c r="G12" i="5" s="1"/>
  <c r="F9" i="5"/>
  <c r="G9" i="5" s="1"/>
  <c r="F6" i="5"/>
  <c r="G6" i="5" s="1"/>
  <c r="F3" i="5"/>
  <c r="G3" i="5" s="1"/>
  <c r="F73" i="5"/>
  <c r="G73" i="5" s="1"/>
  <c r="F71" i="5"/>
  <c r="G71" i="5" s="1"/>
  <c r="F98" i="5"/>
  <c r="G98" i="5" s="1"/>
  <c r="F67" i="5"/>
  <c r="G67" i="5" s="1"/>
  <c r="F65" i="5"/>
  <c r="G65" i="5" s="1"/>
  <c r="F58" i="5"/>
  <c r="G58" i="5" s="1"/>
  <c r="F56" i="5"/>
  <c r="G56" i="5" s="1"/>
  <c r="F49" i="5"/>
  <c r="G49" i="5" s="1"/>
  <c r="F47" i="5"/>
  <c r="G47" i="5" s="1"/>
  <c r="F40" i="5"/>
  <c r="G40" i="5" s="1"/>
  <c r="F38" i="5"/>
  <c r="G38" i="5" s="1"/>
  <c r="F31" i="5"/>
  <c r="G31" i="5" s="1"/>
  <c r="F29" i="5"/>
  <c r="G29" i="5" s="1"/>
  <c r="F22" i="5"/>
  <c r="G22" i="5" s="1"/>
  <c r="F20" i="5"/>
  <c r="G20" i="5" s="1"/>
  <c r="F13" i="5"/>
  <c r="G13" i="5" s="1"/>
  <c r="F10" i="5"/>
  <c r="G10" i="5" s="1"/>
  <c r="F7" i="5"/>
  <c r="G7" i="5" s="1"/>
  <c r="F4" i="5"/>
  <c r="G4" i="5" s="1"/>
  <c r="F95" i="5"/>
  <c r="G95" i="5" s="1"/>
  <c r="F85" i="5"/>
  <c r="G85" i="5" s="1"/>
  <c r="F92" i="5"/>
  <c r="G92" i="5" s="1"/>
  <c r="F80" i="5"/>
  <c r="G80" i="5" s="1"/>
  <c r="F63" i="5"/>
  <c r="G63" i="5" s="1"/>
  <c r="F54" i="5"/>
  <c r="G54" i="5" s="1"/>
  <c r="F45" i="5"/>
  <c r="G45" i="5" s="1"/>
  <c r="F36" i="5"/>
  <c r="G36" i="5" s="1"/>
  <c r="F27" i="5"/>
  <c r="G27" i="5" s="1"/>
  <c r="F18" i="5"/>
  <c r="G18" i="5" s="1"/>
  <c r="F51" i="5"/>
  <c r="G51" i="5" s="1"/>
  <c r="F15" i="5"/>
  <c r="G15" i="5" s="1"/>
  <c r="F24" i="5"/>
  <c r="G24" i="5" s="1"/>
  <c r="F39" i="5"/>
  <c r="G39" i="5" s="1"/>
  <c r="G11" i="1"/>
  <c r="F33" i="5"/>
  <c r="G33" i="5" s="1"/>
  <c r="F48" i="5"/>
  <c r="G48" i="5" s="1"/>
  <c r="F60" i="5"/>
  <c r="G60" i="5" s="1"/>
  <c r="F42" i="5"/>
  <c r="G42" i="5" s="1"/>
  <c r="F21" i="5"/>
  <c r="G21" i="5" s="1"/>
  <c r="F30" i="5"/>
  <c r="G30" i="5" s="1"/>
  <c r="H37" i="5" l="1"/>
  <c r="I37" i="5" s="1"/>
  <c r="H131" i="5"/>
  <c r="I131" i="5" s="1"/>
  <c r="I87" i="5"/>
  <c r="H87" i="5"/>
  <c r="H45" i="5"/>
  <c r="I45" i="5" s="1"/>
  <c r="H50" i="5"/>
  <c r="I50" i="5" s="1"/>
  <c r="H90" i="5"/>
  <c r="I90" i="5" s="1"/>
  <c r="H52" i="5"/>
  <c r="I52" i="5" s="1"/>
  <c r="H165" i="5"/>
  <c r="I165" i="5" s="1"/>
  <c r="I8" i="5"/>
  <c r="H8" i="5"/>
  <c r="H187" i="5"/>
  <c r="I187" i="5" s="1"/>
  <c r="H80" i="5"/>
  <c r="I80" i="5" s="1"/>
  <c r="H107" i="5"/>
  <c r="I107" i="5" s="1"/>
  <c r="H135" i="5"/>
  <c r="I135" i="5" s="1"/>
  <c r="H92" i="5"/>
  <c r="I92" i="5" s="1"/>
  <c r="I110" i="5"/>
  <c r="H110" i="5"/>
  <c r="H157" i="5"/>
  <c r="I157" i="5" s="1"/>
  <c r="H47" i="5"/>
  <c r="I47" i="5" s="1"/>
  <c r="H149" i="5"/>
  <c r="I149" i="5" s="1"/>
  <c r="H180" i="5"/>
  <c r="I180" i="5" s="1"/>
  <c r="I21" i="5"/>
  <c r="H21" i="5"/>
  <c r="I79" i="5"/>
  <c r="H79" i="5"/>
  <c r="H167" i="5"/>
  <c r="I167" i="5" s="1"/>
  <c r="H142" i="5"/>
  <c r="I142" i="5" s="1"/>
  <c r="H42" i="5"/>
  <c r="I42" i="5" s="1"/>
  <c r="H71" i="5"/>
  <c r="I71" i="5" s="1"/>
  <c r="H70" i="5"/>
  <c r="I70" i="5" s="1"/>
  <c r="I145" i="5"/>
  <c r="H145" i="5"/>
  <c r="H60" i="5"/>
  <c r="I60" i="5" s="1"/>
  <c r="I29" i="5"/>
  <c r="H29" i="5"/>
  <c r="H137" i="5"/>
  <c r="I137" i="5" s="1"/>
  <c r="H129" i="5"/>
  <c r="I129" i="5" s="1"/>
  <c r="I3" i="5"/>
  <c r="H3" i="5"/>
  <c r="I59" i="5"/>
  <c r="H59" i="5"/>
  <c r="H115" i="5"/>
  <c r="I115" i="5" s="1"/>
  <c r="H132" i="5"/>
  <c r="I132" i="5" s="1"/>
  <c r="I11" i="5"/>
  <c r="H11" i="5"/>
  <c r="H118" i="5"/>
  <c r="I118" i="5" s="1"/>
  <c r="G13" i="1"/>
  <c r="B7" i="6" s="1"/>
  <c r="G12" i="1"/>
  <c r="B6" i="6" s="1"/>
  <c r="I14" i="5"/>
  <c r="H14" i="5"/>
  <c r="H182" i="5"/>
  <c r="I182" i="5" s="1"/>
  <c r="H138" i="5"/>
  <c r="I138" i="5" s="1"/>
  <c r="I12" i="5"/>
  <c r="H12" i="5"/>
  <c r="H113" i="5"/>
  <c r="I113" i="5" s="1"/>
  <c r="H160" i="5"/>
  <c r="I160" i="5" s="1"/>
  <c r="I69" i="5"/>
  <c r="H69" i="5"/>
  <c r="I24" i="5"/>
  <c r="H24" i="5"/>
  <c r="I17" i="5"/>
  <c r="H17" i="5"/>
  <c r="H82" i="5"/>
  <c r="I82" i="5" s="1"/>
  <c r="H188" i="5"/>
  <c r="I188" i="5" s="1"/>
  <c r="H163" i="5"/>
  <c r="I163" i="5" s="1"/>
  <c r="I144" i="5"/>
  <c r="H144" i="5"/>
  <c r="H56" i="5"/>
  <c r="I56" i="5" s="1"/>
  <c r="I25" i="5"/>
  <c r="H25" i="5"/>
  <c r="H76" i="5"/>
  <c r="I76" i="5" s="1"/>
  <c r="H119" i="5"/>
  <c r="I119" i="5" s="1"/>
  <c r="H155" i="5"/>
  <c r="I155" i="5" s="1"/>
  <c r="I191" i="5"/>
  <c r="H191" i="5"/>
  <c r="H130" i="5"/>
  <c r="I130" i="5" s="1"/>
  <c r="H166" i="5"/>
  <c r="I166" i="5" s="1"/>
  <c r="H75" i="5"/>
  <c r="I75" i="5" s="1"/>
  <c r="H111" i="5"/>
  <c r="I111" i="5" s="1"/>
  <c r="H147" i="5"/>
  <c r="I147" i="5" s="1"/>
  <c r="I183" i="5"/>
  <c r="H183" i="5"/>
  <c r="H98" i="5"/>
  <c r="I98" i="5" s="1"/>
  <c r="H106" i="5"/>
  <c r="I106" i="5" s="1"/>
  <c r="H159" i="5"/>
  <c r="I159" i="5" s="1"/>
  <c r="H44" i="5"/>
  <c r="I44" i="5" s="1"/>
  <c r="H170" i="5"/>
  <c r="I170" i="5" s="1"/>
  <c r="I126" i="5"/>
  <c r="H126" i="5"/>
  <c r="H54" i="5"/>
  <c r="I54" i="5" s="1"/>
  <c r="I5" i="5"/>
  <c r="H5" i="5"/>
  <c r="H88" i="5"/>
  <c r="I88" i="5" s="1"/>
  <c r="H112" i="5"/>
  <c r="I112" i="5" s="1"/>
  <c r="H93" i="5"/>
  <c r="I93" i="5" s="1"/>
  <c r="I31" i="5"/>
  <c r="H31" i="5"/>
  <c r="H104" i="5"/>
  <c r="I104" i="5" s="1"/>
  <c r="H151" i="5"/>
  <c r="I151" i="5" s="1"/>
  <c r="I33" i="5"/>
  <c r="H33" i="5"/>
  <c r="H55" i="5"/>
  <c r="I55" i="5" s="1"/>
  <c r="H179" i="5"/>
  <c r="I179" i="5" s="1"/>
  <c r="I190" i="5"/>
  <c r="H190" i="5"/>
  <c r="I9" i="5"/>
  <c r="H9" i="5"/>
  <c r="H39" i="5"/>
  <c r="I39" i="5" s="1"/>
  <c r="H64" i="5"/>
  <c r="I64" i="5" s="1"/>
  <c r="H185" i="5"/>
  <c r="I185" i="5" s="1"/>
  <c r="H141" i="5"/>
  <c r="I141" i="5" s="1"/>
  <c r="I95" i="5"/>
  <c r="H95" i="5"/>
  <c r="H91" i="5"/>
  <c r="I91" i="5" s="1"/>
  <c r="H152" i="5"/>
  <c r="I152" i="5" s="1"/>
  <c r="H108" i="5"/>
  <c r="I108" i="5" s="1"/>
  <c r="I4" i="5"/>
  <c r="H4" i="5"/>
  <c r="H57" i="5"/>
  <c r="I57" i="5" s="1"/>
  <c r="I7" i="5"/>
  <c r="H7" i="5"/>
  <c r="I26" i="5"/>
  <c r="H26" i="5"/>
  <c r="I32" i="5"/>
  <c r="H32" i="5"/>
  <c r="H122" i="5"/>
  <c r="I122" i="5" s="1"/>
  <c r="H97" i="5"/>
  <c r="I97" i="5" s="1"/>
  <c r="H133" i="5"/>
  <c r="I133" i="5" s="1"/>
  <c r="I169" i="5"/>
  <c r="H169" i="5"/>
  <c r="H78" i="5"/>
  <c r="I78" i="5" s="1"/>
  <c r="H114" i="5"/>
  <c r="I114" i="5" s="1"/>
  <c r="H150" i="5"/>
  <c r="I150" i="5" s="1"/>
  <c r="H186" i="5"/>
  <c r="I186" i="5" s="1"/>
  <c r="I20" i="5"/>
  <c r="H20" i="5"/>
  <c r="I101" i="5"/>
  <c r="H101" i="5"/>
  <c r="H178" i="5"/>
  <c r="I178" i="5" s="1"/>
  <c r="I2" i="5"/>
  <c r="H2" i="5"/>
  <c r="H109" i="5"/>
  <c r="I109" i="5" s="1"/>
  <c r="H162" i="5"/>
  <c r="I162" i="5" s="1"/>
  <c r="H73" i="5"/>
  <c r="I73" i="5" s="1"/>
  <c r="I173" i="5"/>
  <c r="H173" i="5"/>
  <c r="H184" i="5"/>
  <c r="I184" i="5" s="1"/>
  <c r="H48" i="5"/>
  <c r="I48" i="5" s="1"/>
  <c r="H53" i="5"/>
  <c r="I53" i="5" s="1"/>
  <c r="H176" i="5"/>
  <c r="I176" i="5" s="1"/>
  <c r="H168" i="5"/>
  <c r="I168" i="5" s="1"/>
  <c r="I38" i="5"/>
  <c r="H38" i="5"/>
  <c r="H61" i="5"/>
  <c r="I61" i="5" s="1"/>
  <c r="H154" i="5"/>
  <c r="I154" i="5" s="1"/>
  <c r="H171" i="5"/>
  <c r="I171" i="5" s="1"/>
  <c r="H62" i="5"/>
  <c r="I62" i="5" s="1"/>
  <c r="H77" i="5"/>
  <c r="I77" i="5" s="1"/>
  <c r="I121" i="5"/>
  <c r="H121" i="5"/>
  <c r="H102" i="5"/>
  <c r="I102" i="5" s="1"/>
  <c r="H85" i="5"/>
  <c r="I85" i="5" s="1"/>
  <c r="I16" i="5"/>
  <c r="H16" i="5"/>
  <c r="H124" i="5"/>
  <c r="I124" i="5" s="1"/>
  <c r="H177" i="5"/>
  <c r="I177" i="5" s="1"/>
  <c r="I49" i="5"/>
  <c r="H49" i="5"/>
  <c r="I23" i="5"/>
  <c r="H23" i="5"/>
  <c r="H116" i="5"/>
  <c r="I116" i="5" s="1"/>
  <c r="H127" i="5"/>
  <c r="I127" i="5" s="1"/>
  <c r="H72" i="5"/>
  <c r="I72" i="5" s="1"/>
  <c r="I15" i="5"/>
  <c r="H15" i="5"/>
  <c r="I19" i="5"/>
  <c r="H19" i="5"/>
  <c r="H51" i="5"/>
  <c r="I51" i="5" s="1"/>
  <c r="H58" i="5"/>
  <c r="I58" i="5" s="1"/>
  <c r="H66" i="5"/>
  <c r="I66" i="5" s="1"/>
  <c r="H94" i="5"/>
  <c r="I94" i="5" s="1"/>
  <c r="H158" i="5"/>
  <c r="I158" i="5" s="1"/>
  <c r="I18" i="5"/>
  <c r="H18" i="5"/>
  <c r="I10" i="5"/>
  <c r="H10" i="5"/>
  <c r="H65" i="5"/>
  <c r="I65" i="5" s="1"/>
  <c r="I28" i="5"/>
  <c r="H28" i="5"/>
  <c r="H74" i="5"/>
  <c r="I74" i="5" s="1"/>
  <c r="I34" i="5"/>
  <c r="H34" i="5"/>
  <c r="I86" i="5"/>
  <c r="H86" i="5"/>
  <c r="H125" i="5"/>
  <c r="I125" i="5" s="1"/>
  <c r="H161" i="5"/>
  <c r="I161" i="5" s="1"/>
  <c r="H100" i="5"/>
  <c r="I100" i="5" s="1"/>
  <c r="H136" i="5"/>
  <c r="I136" i="5" s="1"/>
  <c r="H172" i="5"/>
  <c r="I172" i="5" s="1"/>
  <c r="I81" i="5"/>
  <c r="H81" i="5"/>
  <c r="H117" i="5"/>
  <c r="I117" i="5" s="1"/>
  <c r="H153" i="5"/>
  <c r="I153" i="5" s="1"/>
  <c r="H189" i="5"/>
  <c r="I189" i="5" s="1"/>
  <c r="I36" i="5"/>
  <c r="H36" i="5"/>
  <c r="H43" i="5"/>
  <c r="I43" i="5" s="1"/>
  <c r="I123" i="5"/>
  <c r="H123" i="5"/>
  <c r="I22" i="5"/>
  <c r="H22" i="5"/>
  <c r="H134" i="5"/>
  <c r="I134" i="5" s="1"/>
  <c r="H181" i="5"/>
  <c r="I181" i="5" s="1"/>
  <c r="I46" i="5"/>
  <c r="H46" i="5"/>
  <c r="H148" i="5"/>
  <c r="I148" i="5" s="1"/>
  <c r="I63" i="5"/>
  <c r="H63" i="5"/>
  <c r="H140" i="5"/>
  <c r="I140" i="5" s="1"/>
  <c r="H96" i="5"/>
  <c r="I96" i="5" s="1"/>
  <c r="I6" i="5"/>
  <c r="H6" i="5"/>
  <c r="I143" i="5"/>
  <c r="H143" i="5"/>
  <c r="H99" i="5"/>
  <c r="I99" i="5" s="1"/>
  <c r="I40" i="5"/>
  <c r="H40" i="5"/>
  <c r="H146" i="5"/>
  <c r="I146" i="5" s="1"/>
  <c r="H174" i="5"/>
  <c r="I174" i="5" s="1"/>
  <c r="H89" i="5"/>
  <c r="I89" i="5" s="1"/>
  <c r="I105" i="5"/>
  <c r="H105" i="5"/>
  <c r="I30" i="5"/>
  <c r="H30" i="5"/>
  <c r="I27" i="5"/>
  <c r="H27" i="5"/>
  <c r="I13" i="5"/>
  <c r="H13" i="5"/>
  <c r="H67" i="5"/>
  <c r="I67" i="5" s="1"/>
  <c r="I35" i="5"/>
  <c r="H35" i="5"/>
  <c r="I68" i="5"/>
  <c r="H68" i="5"/>
  <c r="H41" i="5"/>
  <c r="I41" i="5" s="1"/>
  <c r="I83" i="5"/>
  <c r="H83" i="5"/>
  <c r="H128" i="5"/>
  <c r="I128" i="5" s="1"/>
  <c r="H164" i="5"/>
  <c r="I164" i="5" s="1"/>
  <c r="H103" i="5"/>
  <c r="I103" i="5" s="1"/>
  <c r="I139" i="5"/>
  <c r="H139" i="5"/>
  <c r="H175" i="5"/>
  <c r="I175" i="5" s="1"/>
  <c r="I84" i="5"/>
  <c r="H84" i="5"/>
  <c r="H120" i="5"/>
  <c r="I120" i="5" s="1"/>
  <c r="H156" i="5"/>
  <c r="I156" i="5" s="1"/>
  <c r="H192" i="5"/>
  <c r="I192" i="5" s="1"/>
</calcChain>
</file>

<file path=xl/sharedStrings.xml><?xml version="1.0" encoding="utf-8"?>
<sst xmlns="http://schemas.openxmlformats.org/spreadsheetml/2006/main" count="141" uniqueCount="126">
  <si>
    <t>Hospice Branch Profitability Simulator</t>
  </si>
  <si>
    <t>Novice Control Panel</t>
  </si>
  <si>
    <t>Scenario Selection</t>
  </si>
  <si>
    <t>Instant Readout</t>
  </si>
  <si>
    <t>Selected Scenario</t>
  </si>
  <si>
    <t>Base</t>
  </si>
  <si>
    <t>Blended Revenue / Day</t>
  </si>
  <si>
    <t>Total Variable Cost / Day</t>
  </si>
  <si>
    <t>Target ADC</t>
  </si>
  <si>
    <t>Set your expected average daily census. The model scales staffing and profit automatically.</t>
  </si>
  <si>
    <t>Contribution / Day</t>
  </si>
  <si>
    <t>Average Length of Stay (days)</t>
  </si>
  <si>
    <t>Average number of days a patient remains on hospice. This drives admissions needed and blended revenue.</t>
  </si>
  <si>
    <t>Annual Fixed Payroll</t>
  </si>
  <si>
    <t>Days 1-60 Revenue / Day</t>
  </si>
  <si>
    <t>FY 2025 Routine Home Care rate for first 60 days.</t>
  </si>
  <si>
    <t>Annual Fixed Overhead</t>
  </si>
  <si>
    <t>Days 61+ Revenue / Day</t>
  </si>
  <si>
    <t>FY 2025 Routine Home Care rate for day 61 and after.</t>
  </si>
  <si>
    <t>Annual Break Even Revenue</t>
  </si>
  <si>
    <t>Pharmacy Cost / Day</t>
  </si>
  <si>
    <t>Average pharmacy spend per patient day.</t>
  </si>
  <si>
    <t>Break Even ADC</t>
  </si>
  <si>
    <t>DME Cost / Day</t>
  </si>
  <si>
    <t>Average DME spend per patient day.</t>
  </si>
  <si>
    <t>ADC for Target Margin</t>
  </si>
  <si>
    <t>Supplies Cost / Day</t>
  </si>
  <si>
    <t>Average supplies spend per patient day.</t>
  </si>
  <si>
    <t>Admissions Needed / Month</t>
  </si>
  <si>
    <t>Travel Cost / Day</t>
  </si>
  <si>
    <t>Mileage, fuel, and travel spend per patient day.</t>
  </si>
  <si>
    <t>Marketers Needed</t>
  </si>
  <si>
    <t>Other Variable Cost / Day</t>
  </si>
  <si>
    <t>Other variable clinical cost per patient day.</t>
  </si>
  <si>
    <t>Monthly Fixed Overhead</t>
  </si>
  <si>
    <t>Office, insurance, EMR, liability, phones, rent, and admin overhead per month.</t>
  </si>
  <si>
    <t>Cash on Hand at Start</t>
  </si>
  <si>
    <t>Starting cash for the startup ramp and monthly burn analysis.</t>
  </si>
  <si>
    <t>Target Margin</t>
  </si>
  <si>
    <t>Target operating margin used to solve target ADC.</t>
  </si>
  <si>
    <t>Admissions per Marketer / Month</t>
  </si>
  <si>
    <t>How many admissions one marketer can produce each month on average.</t>
  </si>
  <si>
    <t>RN Caseload per RN</t>
  </si>
  <si>
    <t>Patients per RN case manager.</t>
  </si>
  <si>
    <t>Aide Caseload per Aide</t>
  </si>
  <si>
    <t>Patients per hospice aide.</t>
  </si>
  <si>
    <t>Social Worker Caseload</t>
  </si>
  <si>
    <t>Patients per social worker.</t>
  </si>
  <si>
    <t>Chaplain Caseload</t>
  </si>
  <si>
    <t>Patients per chaplain.</t>
  </si>
  <si>
    <t>Scenario</t>
  </si>
  <si>
    <t>LOS Days</t>
  </si>
  <si>
    <t>RHC Day 1-60</t>
  </si>
  <si>
    <t>RHC Day 61+</t>
  </si>
  <si>
    <t>Pharmacy/Day</t>
  </si>
  <si>
    <t>DME/Day</t>
  </si>
  <si>
    <t>Supplies/Day</t>
  </si>
  <si>
    <t>Travel/Day</t>
  </si>
  <si>
    <t>Other/Day</t>
  </si>
  <si>
    <t>Monthly Overhead</t>
  </si>
  <si>
    <t>Start Cash</t>
  </si>
  <si>
    <t>Admissions/Marketer</t>
  </si>
  <si>
    <t>Lean</t>
  </si>
  <si>
    <t>High Acuity</t>
  </si>
  <si>
    <t>Role</t>
  </si>
  <si>
    <t>Annual Salary</t>
  </si>
  <si>
    <t>Minimum FTE</t>
  </si>
  <si>
    <t>Caseload Trigger</t>
  </si>
  <si>
    <t>Auto FTE</t>
  </si>
  <si>
    <t>Chosen FTE</t>
  </si>
  <si>
    <t>Monthly Cost</t>
  </si>
  <si>
    <t>Annual Cost</t>
  </si>
  <si>
    <t>Executive Director</t>
  </si>
  <si>
    <t>Supervisor RN Case Manager</t>
  </si>
  <si>
    <t>RN Case Manager</t>
  </si>
  <si>
    <t>Hospice Aide</t>
  </si>
  <si>
    <t>Social Worker</t>
  </si>
  <si>
    <t>Chaplain</t>
  </si>
  <si>
    <t>After Hours RN</t>
  </si>
  <si>
    <t>Weekend RN</t>
  </si>
  <si>
    <t>Intake Coordinator</t>
  </si>
  <si>
    <t>Secretary</t>
  </si>
  <si>
    <t>Sales Rep / Marketer</t>
  </si>
  <si>
    <t>Medical Director Contract</t>
  </si>
  <si>
    <t>Total</t>
  </si>
  <si>
    <t>Admissions Engine</t>
  </si>
  <si>
    <t>Metric</t>
  </si>
  <si>
    <t>Value</t>
  </si>
  <si>
    <t>How to use this</t>
  </si>
  <si>
    <t>Desired average daily census.</t>
  </si>
  <si>
    <t>Average Length of Stay</t>
  </si>
  <si>
    <t>Average days a patient remains on service.</t>
  </si>
  <si>
    <t>Monthly admissions needed to replace turnover and hold census.</t>
  </si>
  <si>
    <t>Admissions / Marketer / Month</t>
  </si>
  <si>
    <t>Expected monthly admissions per marketer.</t>
  </si>
  <si>
    <t>Auto-solved number of marketers needed to sustain admissions.</t>
  </si>
  <si>
    <t>Current Marketers in Staffing Tab</t>
  </si>
  <si>
    <t>Pulled from staffing assumptions.</t>
  </si>
  <si>
    <t>Admissions Gap / Surplus</t>
  </si>
  <si>
    <t>Positive means marketer capacity exceeds need. Negative means a gap.</t>
  </si>
  <si>
    <t>ADC</t>
  </si>
  <si>
    <t>Revenue/Day</t>
  </si>
  <si>
    <t>Var Cost/Day</t>
  </si>
  <si>
    <t>Annual Revenue</t>
  </si>
  <si>
    <t>Annual Variable Cost</t>
  </si>
  <si>
    <t>Annual Fixed Cost</t>
  </si>
  <si>
    <t>Annual Profit</t>
  </si>
  <si>
    <t>Margin</t>
  </si>
  <si>
    <t>Status</t>
  </si>
  <si>
    <t>Dashboard</t>
  </si>
  <si>
    <t>Revenue / Patient Day</t>
  </si>
  <si>
    <t>Variable Cost / Patient Day</t>
  </si>
  <si>
    <t>Contribution / Patient Day</t>
  </si>
  <si>
    <t>How to Use This Model</t>
  </si>
  <si>
    <t>1. Go to START_HERE and choose Lean, Base, or High Acuity in cell B5.</t>
  </si>
  <si>
    <t>2. Edit blue input cells only. Those are the safe control cells for a novice user.</t>
  </si>
  <si>
    <t>3. Read the green output cells on the right to see break even ADC, admissions needed, and target margin ADC.</t>
  </si>
  <si>
    <t>4. Open Staffing_Assumptions to see exactly how many staff are required at the current ADC. The model enforces minimum staffing floors and auto-adds staff when caseload ratios are exceeded.</t>
  </si>
  <si>
    <t>5. Open Admissions_Engine to see how many admissions per month you need and how many marketers are required.</t>
  </si>
  <si>
    <t>6. Open Profit_Simulator to see profit and margin from ADC 10 through 200.</t>
  </si>
  <si>
    <t>7. Open Dashboard for charts and a one-page management summary.</t>
  </si>
  <si>
    <t>8. If you want to build inside the workbook, copy an existing formula row rather than typing over formulas. Blue cells are inputs. Green cells are key outputs. Dark blue headers identify sections.</t>
  </si>
  <si>
    <t>Three operational levers:</t>
  </si>
  <si>
    <t>A. Census density: fixed overhead is spread over more patients as ADC rises, which drives margin expansion.</t>
  </si>
  <si>
    <t>B. Length of stay discipline: the first 60 days pay more than day 61 and after, so LOS mix changes blended revenue.</t>
  </si>
  <si>
    <t>C. Clinical cost management: pharmacy, DME, travel, and staffing efficiency determine whether margin holds or collapses.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</si>
</sst>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Red]\(\$#,##0.0\);\-"/>
    <numFmt numFmtId="165" formatCode="\$#,##0;[Red]\(\$#,##0\);\-"/>
    <numFmt numFmtId="166" formatCode="0.0%"/>
    <numFmt numFmtId="167" formatCode="#,##0.0;[Red]\(#,##0.0\);\-"/>
    <numFmt numFmtId="168" formatCode="#,##0;[Red]\(#,##0\);\-"/>
  </numFmts>
  <fonts count="8" x14ac:knownFonts="1">
    <font>
      <sz val="11"/>
      <color theme="1"/>
      <name val="Calibri"/>
      <family val="2"/>
      <scheme val="minor"/>
    </font>
    <font>
      <b/>
      <sz val="16"/>
      <name val="Calibri"/>
    </font>
    <font>
      <i/>
      <sz val="11"/>
      <name val="Calibri"/>
    </font>
    <font>
      <b/>
      <sz val="11"/>
      <color rgb="FFFFFFFF"/>
      <name val="Calibri"/>
    </font>
    <font>
      <b/>
      <sz val="11"/>
      <color rgb="FF0000FF"/>
      <name val="Calibri"/>
    </font>
    <font>
      <sz val="11"/>
      <color rgb="FF0000FF"/>
      <name val="Calibri"/>
    </font>
    <font>
      <b/>
      <sz val="11"/>
      <name val="Calibri"/>
    </font>
    <font>
      <b/>
      <sz val="14"/>
      <name val="Calibri"/>
    </font>
  </fonts>
  <fills count="6">
    <fill>
      <patternFill patternType="none"/>
    </fill>
    <fill>
      <patternFill patternType="gray125"/>
    </fill>
    <fill>
      <patternFill patternType="solid">
        <fgColor rgb="FF1F4E78"/>
      </patternFill>
    </fill>
    <fill>
      <patternFill patternType="solid">
        <fgColor rgb="FFFFF2CC"/>
      </patternFill>
    </fill>
    <fill>
      <patternFill patternType="solid">
        <fgColor rgb="FFD9EAF7"/>
      </patternFill>
    </fill>
    <fill>
      <patternFill patternType="solid">
        <fgColor rgb="FFE2F0D9"/>
      </patternFill>
    </fill>
  </fills>
  <borders count="2">
    <border>
      <left/>
      <right/>
      <top/>
      <bottom/>
      <diagonal/>
    </border>
    <border>
      <left/>
      <right/>
      <top style="medium">
        <color rgb="FF808080"/>
      </top>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3" fillId="2" borderId="0" xfId="0" applyFont="1" applyFill="1"/>
    <xf numFmtId="0" fontId="6" fillId="0" borderId="0" xfId="0" applyFont="1"/>
    <xf numFmtId="0" fontId="0" fillId="4" borderId="0" xfId="0" applyFill="1"/>
    <xf numFmtId="0" fontId="0" fillId="0" borderId="0" xfId="0" applyAlignment="1">
      <alignment vertical="top" wrapText="1"/>
    </xf>
    <xf numFmtId="0" fontId="7" fillId="0" borderId="0" xfId="0" applyFont="1"/>
    <xf numFmtId="0" fontId="0" fillId="0" borderId="0" xfId="0" applyAlignment="1">
      <alignment wrapText="1"/>
    </xf>
    <xf numFmtId="0" fontId="3" fillId="2" borderId="0" xfId="0" applyFont="1" applyFill="1" applyAlignment="1">
      <alignment horizontal="center"/>
    </xf>
    <xf numFmtId="0" fontId="0" fillId="3" borderId="0" xfId="0" applyFill="1" applyAlignment="1">
      <alignment horizontal="center"/>
    </xf>
    <xf numFmtId="164" fontId="0" fillId="3" borderId="0" xfId="0" applyNumberFormat="1" applyFill="1" applyAlignment="1">
      <alignment horizontal="center"/>
    </xf>
    <xf numFmtId="166" fontId="0" fillId="3" borderId="0" xfId="0" applyNumberFormat="1" applyFill="1" applyAlignment="1">
      <alignment horizontal="center"/>
    </xf>
    <xf numFmtId="0" fontId="0" fillId="0" borderId="0" xfId="0" applyAlignment="1">
      <alignment horizontal="center"/>
    </xf>
    <xf numFmtId="165" fontId="0" fillId="0" borderId="0" xfId="0" applyNumberFormat="1" applyAlignment="1">
      <alignment horizontal="center"/>
    </xf>
    <xf numFmtId="165" fontId="6" fillId="0" borderId="1" xfId="0" applyNumberFormat="1" applyFont="1" applyBorder="1" applyAlignment="1">
      <alignment horizontal="center"/>
    </xf>
    <xf numFmtId="167" fontId="0" fillId="0" borderId="0" xfId="0" applyNumberFormat="1" applyAlignment="1">
      <alignment horizontal="center"/>
    </xf>
    <xf numFmtId="164" fontId="0" fillId="0" borderId="0" xfId="0" applyNumberFormat="1" applyAlignment="1">
      <alignment horizontal="center"/>
    </xf>
    <xf numFmtId="166" fontId="0" fillId="0" borderId="0" xfId="0" applyNumberFormat="1" applyAlignment="1">
      <alignment horizontal="center"/>
    </xf>
    <xf numFmtId="0" fontId="0" fillId="5" borderId="0" xfId="0" applyFill="1" applyAlignment="1">
      <alignment horizontal="center"/>
    </xf>
    <xf numFmtId="167" fontId="0" fillId="5" borderId="0" xfId="0" applyNumberFormat="1" applyFill="1" applyAlignment="1">
      <alignment horizontal="center"/>
    </xf>
    <xf numFmtId="165" fontId="0" fillId="5" borderId="0" xfId="0" applyNumberFormat="1" applyFill="1" applyAlignment="1">
      <alignment horizontal="center"/>
    </xf>
    <xf numFmtId="166" fontId="0" fillId="5" borderId="0" xfId="0" applyNumberFormat="1" applyFill="1" applyAlignment="1">
      <alignment horizontal="center"/>
    </xf>
    <xf numFmtId="0" fontId="4" fillId="3" borderId="0" xfId="0" applyFont="1" applyFill="1" applyAlignment="1">
      <alignment horizontal="center"/>
    </xf>
    <xf numFmtId="0" fontId="5" fillId="3" borderId="0" xfId="0" applyFont="1" applyFill="1" applyAlignment="1">
      <alignment horizontal="center"/>
    </xf>
    <xf numFmtId="164" fontId="5" fillId="3" borderId="0" xfId="0" applyNumberFormat="1" applyFont="1" applyFill="1" applyAlignment="1">
      <alignment horizontal="center"/>
    </xf>
    <xf numFmtId="165" fontId="5" fillId="3" borderId="0" xfId="0" applyNumberFormat="1" applyFont="1" applyFill="1" applyAlignment="1">
      <alignment horizontal="center"/>
    </xf>
    <xf numFmtId="166" fontId="5" fillId="3" borderId="0" xfId="0" applyNumberFormat="1" applyFont="1" applyFill="1" applyAlignment="1">
      <alignment horizontal="center"/>
    </xf>
    <xf numFmtId="164" fontId="6" fillId="5" borderId="0" xfId="0" applyNumberFormat="1" applyFont="1" applyFill="1" applyAlignment="1">
      <alignment horizontal="center"/>
    </xf>
    <xf numFmtId="167" fontId="6" fillId="5" borderId="0" xfId="0" applyNumberFormat="1" applyFont="1" applyFill="1" applyAlignment="1">
      <alignment horizontal="center"/>
    </xf>
    <xf numFmtId="168" fontId="6" fillId="5" borderId="0" xfId="0" applyNumberFormat="1"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ADC vs Annual Profit</a:t>
            </a:r>
          </a:p>
        </c:rich>
      </c:tx>
      <c:overlay val="1"/>
    </c:title>
    <c:autoTitleDeleted val="0"/>
    <c:plotArea>
      <c:layout/>
      <c:lineChart>
        <c:grouping val="standard"/>
        <c:varyColors val="1"/>
        <c:ser>
          <c:idx val="0"/>
          <c:order val="0"/>
          <c:tx>
            <c:strRef>
              <c:f>Profit_Simulator!$G$1</c:f>
              <c:strCache>
                <c:ptCount val="1"/>
                <c:pt idx="0">
                  <c:v>Annual Profit</c:v>
                </c:pt>
              </c:strCache>
            </c:strRef>
          </c:tx>
          <c:spPr>
            <a:ln>
              <a:prstDash val="solid"/>
            </a:ln>
          </c:spPr>
          <c:marker>
            <c:symbol val="none"/>
          </c:marker>
          <c:cat>
            <c:numRef>
              <c:f>Profit_Simulator!$A$2:$A$193</c:f>
              <c:numCache>
                <c:formatCode>General</c:formatCode>
                <c:ptCount val="192"/>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pt idx="26">
                  <c:v>36</c:v>
                </c:pt>
                <c:pt idx="27">
                  <c:v>37</c:v>
                </c:pt>
                <c:pt idx="28">
                  <c:v>38</c:v>
                </c:pt>
                <c:pt idx="29">
                  <c:v>39</c:v>
                </c:pt>
                <c:pt idx="30">
                  <c:v>40</c:v>
                </c:pt>
                <c:pt idx="31">
                  <c:v>41</c:v>
                </c:pt>
                <c:pt idx="32">
                  <c:v>42</c:v>
                </c:pt>
                <c:pt idx="33">
                  <c:v>43</c:v>
                </c:pt>
                <c:pt idx="34">
                  <c:v>44</c:v>
                </c:pt>
                <c:pt idx="35">
                  <c:v>45</c:v>
                </c:pt>
                <c:pt idx="36">
                  <c:v>46</c:v>
                </c:pt>
                <c:pt idx="37">
                  <c:v>47</c:v>
                </c:pt>
                <c:pt idx="38">
                  <c:v>48</c:v>
                </c:pt>
                <c:pt idx="39">
                  <c:v>49</c:v>
                </c:pt>
                <c:pt idx="40">
                  <c:v>50</c:v>
                </c:pt>
                <c:pt idx="41">
                  <c:v>51</c:v>
                </c:pt>
                <c:pt idx="42">
                  <c:v>52</c:v>
                </c:pt>
                <c:pt idx="43">
                  <c:v>53</c:v>
                </c:pt>
                <c:pt idx="44">
                  <c:v>54</c:v>
                </c:pt>
                <c:pt idx="45">
                  <c:v>55</c:v>
                </c:pt>
                <c:pt idx="46">
                  <c:v>56</c:v>
                </c:pt>
                <c:pt idx="47">
                  <c:v>57</c:v>
                </c:pt>
                <c:pt idx="48">
                  <c:v>58</c:v>
                </c:pt>
                <c:pt idx="49">
                  <c:v>59</c:v>
                </c:pt>
                <c:pt idx="50">
                  <c:v>60</c:v>
                </c:pt>
                <c:pt idx="51">
                  <c:v>61</c:v>
                </c:pt>
                <c:pt idx="52">
                  <c:v>62</c:v>
                </c:pt>
                <c:pt idx="53">
                  <c:v>63</c:v>
                </c:pt>
                <c:pt idx="54">
                  <c:v>64</c:v>
                </c:pt>
                <c:pt idx="55">
                  <c:v>65</c:v>
                </c:pt>
                <c:pt idx="56">
                  <c:v>66</c:v>
                </c:pt>
                <c:pt idx="57">
                  <c:v>67</c:v>
                </c:pt>
                <c:pt idx="58">
                  <c:v>68</c:v>
                </c:pt>
                <c:pt idx="59">
                  <c:v>69</c:v>
                </c:pt>
                <c:pt idx="60">
                  <c:v>70</c:v>
                </c:pt>
                <c:pt idx="61">
                  <c:v>71</c:v>
                </c:pt>
                <c:pt idx="62">
                  <c:v>72</c:v>
                </c:pt>
                <c:pt idx="63">
                  <c:v>73</c:v>
                </c:pt>
                <c:pt idx="64">
                  <c:v>74</c:v>
                </c:pt>
                <c:pt idx="65">
                  <c:v>75</c:v>
                </c:pt>
                <c:pt idx="66">
                  <c:v>76</c:v>
                </c:pt>
                <c:pt idx="67">
                  <c:v>77</c:v>
                </c:pt>
                <c:pt idx="68">
                  <c:v>78</c:v>
                </c:pt>
                <c:pt idx="69">
                  <c:v>79</c:v>
                </c:pt>
                <c:pt idx="70">
                  <c:v>80</c:v>
                </c:pt>
                <c:pt idx="71">
                  <c:v>81</c:v>
                </c:pt>
                <c:pt idx="72">
                  <c:v>82</c:v>
                </c:pt>
                <c:pt idx="73">
                  <c:v>83</c:v>
                </c:pt>
                <c:pt idx="74">
                  <c:v>84</c:v>
                </c:pt>
                <c:pt idx="75">
                  <c:v>85</c:v>
                </c:pt>
                <c:pt idx="76">
                  <c:v>86</c:v>
                </c:pt>
                <c:pt idx="77">
                  <c:v>87</c:v>
                </c:pt>
                <c:pt idx="78">
                  <c:v>88</c:v>
                </c:pt>
                <c:pt idx="79">
                  <c:v>89</c:v>
                </c:pt>
                <c:pt idx="80">
                  <c:v>90</c:v>
                </c:pt>
                <c:pt idx="81">
                  <c:v>91</c:v>
                </c:pt>
                <c:pt idx="82">
                  <c:v>92</c:v>
                </c:pt>
                <c:pt idx="83">
                  <c:v>93</c:v>
                </c:pt>
                <c:pt idx="84">
                  <c:v>94</c:v>
                </c:pt>
                <c:pt idx="85">
                  <c:v>95</c:v>
                </c:pt>
                <c:pt idx="86">
                  <c:v>96</c:v>
                </c:pt>
                <c:pt idx="87">
                  <c:v>97</c:v>
                </c:pt>
                <c:pt idx="88">
                  <c:v>98</c:v>
                </c:pt>
                <c:pt idx="89">
                  <c:v>99</c:v>
                </c:pt>
                <c:pt idx="90">
                  <c:v>100</c:v>
                </c:pt>
                <c:pt idx="91">
                  <c:v>101</c:v>
                </c:pt>
                <c:pt idx="92">
                  <c:v>102</c:v>
                </c:pt>
                <c:pt idx="93">
                  <c:v>103</c:v>
                </c:pt>
                <c:pt idx="94">
                  <c:v>104</c:v>
                </c:pt>
                <c:pt idx="95">
                  <c:v>105</c:v>
                </c:pt>
                <c:pt idx="96">
                  <c:v>106</c:v>
                </c:pt>
                <c:pt idx="97">
                  <c:v>107</c:v>
                </c:pt>
                <c:pt idx="98">
                  <c:v>108</c:v>
                </c:pt>
                <c:pt idx="99">
                  <c:v>109</c:v>
                </c:pt>
                <c:pt idx="100">
                  <c:v>110</c:v>
                </c:pt>
                <c:pt idx="101">
                  <c:v>111</c:v>
                </c:pt>
                <c:pt idx="102">
                  <c:v>112</c:v>
                </c:pt>
                <c:pt idx="103">
                  <c:v>113</c:v>
                </c:pt>
                <c:pt idx="104">
                  <c:v>114</c:v>
                </c:pt>
                <c:pt idx="105">
                  <c:v>115</c:v>
                </c:pt>
                <c:pt idx="106">
                  <c:v>116</c:v>
                </c:pt>
                <c:pt idx="107">
                  <c:v>117</c:v>
                </c:pt>
                <c:pt idx="108">
                  <c:v>118</c:v>
                </c:pt>
                <c:pt idx="109">
                  <c:v>119</c:v>
                </c:pt>
                <c:pt idx="110">
                  <c:v>120</c:v>
                </c:pt>
                <c:pt idx="111">
                  <c:v>121</c:v>
                </c:pt>
                <c:pt idx="112">
                  <c:v>122</c:v>
                </c:pt>
                <c:pt idx="113">
                  <c:v>123</c:v>
                </c:pt>
                <c:pt idx="114">
                  <c:v>124</c:v>
                </c:pt>
                <c:pt idx="115">
                  <c:v>125</c:v>
                </c:pt>
                <c:pt idx="116">
                  <c:v>126</c:v>
                </c:pt>
                <c:pt idx="117">
                  <c:v>127</c:v>
                </c:pt>
                <c:pt idx="118">
                  <c:v>128</c:v>
                </c:pt>
                <c:pt idx="119">
                  <c:v>129</c:v>
                </c:pt>
                <c:pt idx="120">
                  <c:v>130</c:v>
                </c:pt>
                <c:pt idx="121">
                  <c:v>131</c:v>
                </c:pt>
                <c:pt idx="122">
                  <c:v>132</c:v>
                </c:pt>
                <c:pt idx="123">
                  <c:v>133</c:v>
                </c:pt>
                <c:pt idx="124">
                  <c:v>134</c:v>
                </c:pt>
                <c:pt idx="125">
                  <c:v>135</c:v>
                </c:pt>
                <c:pt idx="126">
                  <c:v>136</c:v>
                </c:pt>
                <c:pt idx="127">
                  <c:v>137</c:v>
                </c:pt>
                <c:pt idx="128">
                  <c:v>138</c:v>
                </c:pt>
                <c:pt idx="129">
                  <c:v>139</c:v>
                </c:pt>
                <c:pt idx="130">
                  <c:v>140</c:v>
                </c:pt>
                <c:pt idx="131">
                  <c:v>141</c:v>
                </c:pt>
                <c:pt idx="132">
                  <c:v>142</c:v>
                </c:pt>
                <c:pt idx="133">
                  <c:v>143</c:v>
                </c:pt>
                <c:pt idx="134">
                  <c:v>144</c:v>
                </c:pt>
                <c:pt idx="135">
                  <c:v>145</c:v>
                </c:pt>
                <c:pt idx="136">
                  <c:v>146</c:v>
                </c:pt>
                <c:pt idx="137">
                  <c:v>147</c:v>
                </c:pt>
                <c:pt idx="138">
                  <c:v>148</c:v>
                </c:pt>
                <c:pt idx="139">
                  <c:v>149</c:v>
                </c:pt>
                <c:pt idx="140">
                  <c:v>150</c:v>
                </c:pt>
                <c:pt idx="141">
                  <c:v>151</c:v>
                </c:pt>
                <c:pt idx="142">
                  <c:v>152</c:v>
                </c:pt>
                <c:pt idx="143">
                  <c:v>153</c:v>
                </c:pt>
                <c:pt idx="144">
                  <c:v>154</c:v>
                </c:pt>
                <c:pt idx="145">
                  <c:v>155</c:v>
                </c:pt>
                <c:pt idx="146">
                  <c:v>156</c:v>
                </c:pt>
                <c:pt idx="147">
                  <c:v>157</c:v>
                </c:pt>
                <c:pt idx="148">
                  <c:v>158</c:v>
                </c:pt>
                <c:pt idx="149">
                  <c:v>159</c:v>
                </c:pt>
                <c:pt idx="150">
                  <c:v>160</c:v>
                </c:pt>
                <c:pt idx="151">
                  <c:v>161</c:v>
                </c:pt>
                <c:pt idx="152">
                  <c:v>162</c:v>
                </c:pt>
                <c:pt idx="153">
                  <c:v>163</c:v>
                </c:pt>
                <c:pt idx="154">
                  <c:v>164</c:v>
                </c:pt>
                <c:pt idx="155">
                  <c:v>165</c:v>
                </c:pt>
                <c:pt idx="156">
                  <c:v>166</c:v>
                </c:pt>
                <c:pt idx="157">
                  <c:v>167</c:v>
                </c:pt>
                <c:pt idx="158">
                  <c:v>168</c:v>
                </c:pt>
                <c:pt idx="159">
                  <c:v>169</c:v>
                </c:pt>
                <c:pt idx="160">
                  <c:v>170</c:v>
                </c:pt>
                <c:pt idx="161">
                  <c:v>171</c:v>
                </c:pt>
                <c:pt idx="162">
                  <c:v>172</c:v>
                </c:pt>
                <c:pt idx="163">
                  <c:v>173</c:v>
                </c:pt>
                <c:pt idx="164">
                  <c:v>174</c:v>
                </c:pt>
                <c:pt idx="165">
                  <c:v>175</c:v>
                </c:pt>
                <c:pt idx="166">
                  <c:v>176</c:v>
                </c:pt>
                <c:pt idx="167">
                  <c:v>177</c:v>
                </c:pt>
                <c:pt idx="168">
                  <c:v>178</c:v>
                </c:pt>
                <c:pt idx="169">
                  <c:v>179</c:v>
                </c:pt>
                <c:pt idx="170">
                  <c:v>180</c:v>
                </c:pt>
                <c:pt idx="171">
                  <c:v>181</c:v>
                </c:pt>
                <c:pt idx="172">
                  <c:v>182</c:v>
                </c:pt>
                <c:pt idx="173">
                  <c:v>183</c:v>
                </c:pt>
                <c:pt idx="174">
                  <c:v>184</c:v>
                </c:pt>
                <c:pt idx="175">
                  <c:v>185</c:v>
                </c:pt>
                <c:pt idx="176">
                  <c:v>186</c:v>
                </c:pt>
                <c:pt idx="177">
                  <c:v>187</c:v>
                </c:pt>
                <c:pt idx="178">
                  <c:v>188</c:v>
                </c:pt>
                <c:pt idx="179">
                  <c:v>189</c:v>
                </c:pt>
                <c:pt idx="180">
                  <c:v>190</c:v>
                </c:pt>
                <c:pt idx="181">
                  <c:v>191</c:v>
                </c:pt>
                <c:pt idx="182">
                  <c:v>192</c:v>
                </c:pt>
                <c:pt idx="183">
                  <c:v>193</c:v>
                </c:pt>
                <c:pt idx="184">
                  <c:v>194</c:v>
                </c:pt>
                <c:pt idx="185">
                  <c:v>195</c:v>
                </c:pt>
                <c:pt idx="186">
                  <c:v>196</c:v>
                </c:pt>
                <c:pt idx="187">
                  <c:v>197</c:v>
                </c:pt>
                <c:pt idx="188">
                  <c:v>198</c:v>
                </c:pt>
                <c:pt idx="189">
                  <c:v>199</c:v>
                </c:pt>
                <c:pt idx="190">
                  <c:v>200</c:v>
                </c:pt>
              </c:numCache>
            </c:numRef>
          </c:cat>
          <c:val>
            <c:numRef>
              <c:f>Profit_Simulator!$G$2:$G$193</c:f>
              <c:numCache>
                <c:formatCode>\$#,##0;[Red]\(\$#,##0\);\-</c:formatCode>
                <c:ptCount val="192"/>
                <c:pt idx="0">
                  <c:v>-1952622</c:v>
                </c:pt>
                <c:pt idx="1">
                  <c:v>-1895784.2</c:v>
                </c:pt>
                <c:pt idx="2">
                  <c:v>-1838946.4</c:v>
                </c:pt>
                <c:pt idx="3">
                  <c:v>-1782108.6</c:v>
                </c:pt>
                <c:pt idx="4">
                  <c:v>-1725270.8</c:v>
                </c:pt>
                <c:pt idx="5">
                  <c:v>-1668433</c:v>
                </c:pt>
                <c:pt idx="6">
                  <c:v>-1611595.2</c:v>
                </c:pt>
                <c:pt idx="7">
                  <c:v>-1554757.4000000001</c:v>
                </c:pt>
                <c:pt idx="8">
                  <c:v>-1497919.6</c:v>
                </c:pt>
                <c:pt idx="9">
                  <c:v>-1441081.8</c:v>
                </c:pt>
                <c:pt idx="10">
                  <c:v>-1384244.0000000002</c:v>
                </c:pt>
                <c:pt idx="11">
                  <c:v>-1327406.2</c:v>
                </c:pt>
                <c:pt idx="12">
                  <c:v>-1270568.3999999999</c:v>
                </c:pt>
                <c:pt idx="13">
                  <c:v>-1213730.5999999999</c:v>
                </c:pt>
                <c:pt idx="14">
                  <c:v>-1156892.8</c:v>
                </c:pt>
                <c:pt idx="15">
                  <c:v>-1100055</c:v>
                </c:pt>
                <c:pt idx="16">
                  <c:v>-1043217.2</c:v>
                </c:pt>
                <c:pt idx="17">
                  <c:v>-986379.40000000014</c:v>
                </c:pt>
                <c:pt idx="18">
                  <c:v>-929541.60000000009</c:v>
                </c:pt>
                <c:pt idx="19">
                  <c:v>-872703.79999999981</c:v>
                </c:pt>
                <c:pt idx="20">
                  <c:v>-815866</c:v>
                </c:pt>
                <c:pt idx="21">
                  <c:v>-759028.20000000019</c:v>
                </c:pt>
                <c:pt idx="22">
                  <c:v>-702190.39999999991</c:v>
                </c:pt>
                <c:pt idx="23">
                  <c:v>-645352.60000000009</c:v>
                </c:pt>
                <c:pt idx="24">
                  <c:v>-588514.80000000028</c:v>
                </c:pt>
                <c:pt idx="25">
                  <c:v>-531677</c:v>
                </c:pt>
                <c:pt idx="26">
                  <c:v>-474839.20000000019</c:v>
                </c:pt>
                <c:pt idx="27">
                  <c:v>-418001.39999999991</c:v>
                </c:pt>
                <c:pt idx="28">
                  <c:v>-361163.60000000009</c:v>
                </c:pt>
                <c:pt idx="29">
                  <c:v>-304325.79999999981</c:v>
                </c:pt>
                <c:pt idx="30">
                  <c:v>-247488.00000000047</c:v>
                </c:pt>
                <c:pt idx="31">
                  <c:v>-190650.19999999972</c:v>
                </c:pt>
                <c:pt idx="32">
                  <c:v>-133812.39999999991</c:v>
                </c:pt>
                <c:pt idx="33">
                  <c:v>-76974.600000000093</c:v>
                </c:pt>
                <c:pt idx="34">
                  <c:v>-20136.799999999814</c:v>
                </c:pt>
                <c:pt idx="35">
                  <c:v>36701</c:v>
                </c:pt>
                <c:pt idx="36">
                  <c:v>93538.800000000279</c:v>
                </c:pt>
                <c:pt idx="37">
                  <c:v>150376.60000000009</c:v>
                </c:pt>
                <c:pt idx="38">
                  <c:v>207214.39999999991</c:v>
                </c:pt>
                <c:pt idx="39">
                  <c:v>264052.20000000019</c:v>
                </c:pt>
                <c:pt idx="40">
                  <c:v>320890</c:v>
                </c:pt>
                <c:pt idx="41">
                  <c:v>377727.79999999981</c:v>
                </c:pt>
                <c:pt idx="42">
                  <c:v>434565.60000000009</c:v>
                </c:pt>
                <c:pt idx="43">
                  <c:v>491403.39999999991</c:v>
                </c:pt>
                <c:pt idx="44">
                  <c:v>548241.19999999972</c:v>
                </c:pt>
                <c:pt idx="45">
                  <c:v>605079</c:v>
                </c:pt>
                <c:pt idx="46">
                  <c:v>661916.79999999981</c:v>
                </c:pt>
                <c:pt idx="47">
                  <c:v>718754.59999999963</c:v>
                </c:pt>
                <c:pt idx="48">
                  <c:v>775592.40000000037</c:v>
                </c:pt>
                <c:pt idx="49">
                  <c:v>832430.20000000019</c:v>
                </c:pt>
                <c:pt idx="50">
                  <c:v>889268</c:v>
                </c:pt>
                <c:pt idx="51">
                  <c:v>946105.79999999981</c:v>
                </c:pt>
                <c:pt idx="52">
                  <c:v>1002943.5999999996</c:v>
                </c:pt>
                <c:pt idx="53">
                  <c:v>1059781.4000000004</c:v>
                </c:pt>
                <c:pt idx="54">
                  <c:v>1116619.2000000002</c:v>
                </c:pt>
                <c:pt idx="55">
                  <c:v>1173457</c:v>
                </c:pt>
                <c:pt idx="56">
                  <c:v>1230294.7999999998</c:v>
                </c:pt>
                <c:pt idx="57">
                  <c:v>1287132.5999999996</c:v>
                </c:pt>
                <c:pt idx="58">
                  <c:v>1343970.3999999994</c:v>
                </c:pt>
                <c:pt idx="59">
                  <c:v>1400808.2000000002</c:v>
                </c:pt>
                <c:pt idx="60">
                  <c:v>1457646</c:v>
                </c:pt>
                <c:pt idx="61">
                  <c:v>1514483.8000000007</c:v>
                </c:pt>
                <c:pt idx="62">
                  <c:v>1571321.5999999996</c:v>
                </c:pt>
                <c:pt idx="63">
                  <c:v>1628159.3999999994</c:v>
                </c:pt>
                <c:pt idx="64">
                  <c:v>1684997.2000000002</c:v>
                </c:pt>
                <c:pt idx="65">
                  <c:v>1741835</c:v>
                </c:pt>
                <c:pt idx="66">
                  <c:v>1798672.7999999998</c:v>
                </c:pt>
                <c:pt idx="67">
                  <c:v>1855510.6000000006</c:v>
                </c:pt>
                <c:pt idx="68">
                  <c:v>1912348.4000000004</c:v>
                </c:pt>
                <c:pt idx="69">
                  <c:v>1969186.2000000002</c:v>
                </c:pt>
                <c:pt idx="70">
                  <c:v>2026023.9999999991</c:v>
                </c:pt>
                <c:pt idx="71">
                  <c:v>2082861.7999999998</c:v>
                </c:pt>
                <c:pt idx="72">
                  <c:v>2139699.6000000006</c:v>
                </c:pt>
                <c:pt idx="73">
                  <c:v>2196537.3999999994</c:v>
                </c:pt>
                <c:pt idx="74">
                  <c:v>2253375.2000000002</c:v>
                </c:pt>
                <c:pt idx="75">
                  <c:v>2310213</c:v>
                </c:pt>
                <c:pt idx="76">
                  <c:v>2367050.7999999998</c:v>
                </c:pt>
                <c:pt idx="77">
                  <c:v>2423888.5999999996</c:v>
                </c:pt>
                <c:pt idx="78">
                  <c:v>2480726.4000000004</c:v>
                </c:pt>
                <c:pt idx="79">
                  <c:v>2537564.1999999993</c:v>
                </c:pt>
                <c:pt idx="80">
                  <c:v>2594402</c:v>
                </c:pt>
                <c:pt idx="81">
                  <c:v>2651239.7999999998</c:v>
                </c:pt>
                <c:pt idx="82">
                  <c:v>2708077.6000000006</c:v>
                </c:pt>
                <c:pt idx="83">
                  <c:v>2764915.3999999994</c:v>
                </c:pt>
                <c:pt idx="84">
                  <c:v>2821753.2</c:v>
                </c:pt>
                <c:pt idx="85">
                  <c:v>2878591.0000000009</c:v>
                </c:pt>
                <c:pt idx="86">
                  <c:v>2935428.8</c:v>
                </c:pt>
                <c:pt idx="87">
                  <c:v>2992266.5999999996</c:v>
                </c:pt>
                <c:pt idx="88">
                  <c:v>3049104.4000000004</c:v>
                </c:pt>
                <c:pt idx="89">
                  <c:v>3105942.1999999993</c:v>
                </c:pt>
                <c:pt idx="90">
                  <c:v>3162780</c:v>
                </c:pt>
                <c:pt idx="91">
                  <c:v>3219617.8000000007</c:v>
                </c:pt>
                <c:pt idx="92">
                  <c:v>3276455.5999999996</c:v>
                </c:pt>
                <c:pt idx="93">
                  <c:v>3333293.4000000004</c:v>
                </c:pt>
                <c:pt idx="94">
                  <c:v>3390131.2</c:v>
                </c:pt>
                <c:pt idx="95">
                  <c:v>3446968.9999999991</c:v>
                </c:pt>
                <c:pt idx="96">
                  <c:v>3503806.8</c:v>
                </c:pt>
                <c:pt idx="97">
                  <c:v>3560644.6000000006</c:v>
                </c:pt>
                <c:pt idx="98">
                  <c:v>3617482.3999999994</c:v>
                </c:pt>
                <c:pt idx="99">
                  <c:v>3674320.2</c:v>
                </c:pt>
                <c:pt idx="100">
                  <c:v>3731158</c:v>
                </c:pt>
                <c:pt idx="101">
                  <c:v>3787995.7999999989</c:v>
                </c:pt>
                <c:pt idx="102">
                  <c:v>3844833.5999999996</c:v>
                </c:pt>
                <c:pt idx="103">
                  <c:v>3901671.4000000004</c:v>
                </c:pt>
                <c:pt idx="104">
                  <c:v>3958509.1999999993</c:v>
                </c:pt>
                <c:pt idx="105">
                  <c:v>4015347</c:v>
                </c:pt>
                <c:pt idx="106">
                  <c:v>4072184.8000000007</c:v>
                </c:pt>
                <c:pt idx="107">
                  <c:v>4129022.6000000015</c:v>
                </c:pt>
                <c:pt idx="108">
                  <c:v>4185860.4000000004</c:v>
                </c:pt>
                <c:pt idx="109">
                  <c:v>4242698.1999999993</c:v>
                </c:pt>
                <c:pt idx="110">
                  <c:v>4299536</c:v>
                </c:pt>
                <c:pt idx="111">
                  <c:v>4356373.7999999989</c:v>
                </c:pt>
                <c:pt idx="112">
                  <c:v>4413211.5999999996</c:v>
                </c:pt>
                <c:pt idx="113">
                  <c:v>4470049.4000000004</c:v>
                </c:pt>
                <c:pt idx="114">
                  <c:v>4526887.1999999993</c:v>
                </c:pt>
                <c:pt idx="115">
                  <c:v>4583725</c:v>
                </c:pt>
                <c:pt idx="116">
                  <c:v>4640562.8000000007</c:v>
                </c:pt>
                <c:pt idx="117">
                  <c:v>4697400.5999999996</c:v>
                </c:pt>
                <c:pt idx="118">
                  <c:v>4754238.4000000004</c:v>
                </c:pt>
                <c:pt idx="119">
                  <c:v>4811076.2000000011</c:v>
                </c:pt>
                <c:pt idx="120">
                  <c:v>4867914</c:v>
                </c:pt>
                <c:pt idx="121">
                  <c:v>4924751.8000000007</c:v>
                </c:pt>
                <c:pt idx="122">
                  <c:v>4981589.5999999996</c:v>
                </c:pt>
                <c:pt idx="123">
                  <c:v>5038427.3999999985</c:v>
                </c:pt>
                <c:pt idx="124">
                  <c:v>5095265.1999999993</c:v>
                </c:pt>
                <c:pt idx="125">
                  <c:v>5152103</c:v>
                </c:pt>
                <c:pt idx="126">
                  <c:v>5208940.7999999989</c:v>
                </c:pt>
                <c:pt idx="127">
                  <c:v>5265778.5999999996</c:v>
                </c:pt>
                <c:pt idx="128">
                  <c:v>5322616.4000000004</c:v>
                </c:pt>
                <c:pt idx="129">
                  <c:v>5379454.1999999993</c:v>
                </c:pt>
                <c:pt idx="130">
                  <c:v>5436292</c:v>
                </c:pt>
                <c:pt idx="131">
                  <c:v>5493129.8000000007</c:v>
                </c:pt>
                <c:pt idx="132">
                  <c:v>5549967.6000000015</c:v>
                </c:pt>
                <c:pt idx="133">
                  <c:v>5606805.4000000004</c:v>
                </c:pt>
                <c:pt idx="134">
                  <c:v>5663643.1999999993</c:v>
                </c:pt>
                <c:pt idx="135">
                  <c:v>5720481</c:v>
                </c:pt>
                <c:pt idx="136">
                  <c:v>5777318.7999999989</c:v>
                </c:pt>
                <c:pt idx="137">
                  <c:v>5834156.5999999996</c:v>
                </c:pt>
                <c:pt idx="138">
                  <c:v>5890994.4000000004</c:v>
                </c:pt>
                <c:pt idx="139">
                  <c:v>5947832.1999999993</c:v>
                </c:pt>
                <c:pt idx="140">
                  <c:v>6004670</c:v>
                </c:pt>
                <c:pt idx="141">
                  <c:v>6061507.8000000007</c:v>
                </c:pt>
                <c:pt idx="142">
                  <c:v>6118345.5999999996</c:v>
                </c:pt>
                <c:pt idx="143">
                  <c:v>6175183.4000000004</c:v>
                </c:pt>
                <c:pt idx="144">
                  <c:v>6232021.2000000011</c:v>
                </c:pt>
                <c:pt idx="145">
                  <c:v>6288859</c:v>
                </c:pt>
                <c:pt idx="146">
                  <c:v>6345696.8000000007</c:v>
                </c:pt>
                <c:pt idx="147">
                  <c:v>6402534.5999999996</c:v>
                </c:pt>
                <c:pt idx="148">
                  <c:v>6459372.4000000004</c:v>
                </c:pt>
                <c:pt idx="149">
                  <c:v>6516210.2000000011</c:v>
                </c:pt>
                <c:pt idx="150">
                  <c:v>6573047.9999999981</c:v>
                </c:pt>
                <c:pt idx="151">
                  <c:v>6629885.7999999989</c:v>
                </c:pt>
                <c:pt idx="152">
                  <c:v>6686723.5999999996</c:v>
                </c:pt>
                <c:pt idx="153">
                  <c:v>6743561.4000000004</c:v>
                </c:pt>
                <c:pt idx="154">
                  <c:v>6800399.2000000011</c:v>
                </c:pt>
                <c:pt idx="155">
                  <c:v>6857237.0000000019</c:v>
                </c:pt>
                <c:pt idx="156">
                  <c:v>6914074.7999999989</c:v>
                </c:pt>
                <c:pt idx="157">
                  <c:v>6970912.5999999996</c:v>
                </c:pt>
                <c:pt idx="158">
                  <c:v>7027750.4000000004</c:v>
                </c:pt>
                <c:pt idx="159">
                  <c:v>7084588.1999999993</c:v>
                </c:pt>
                <c:pt idx="160">
                  <c:v>7141426</c:v>
                </c:pt>
                <c:pt idx="161">
                  <c:v>7198263.8000000007</c:v>
                </c:pt>
                <c:pt idx="162">
                  <c:v>7255101.5999999996</c:v>
                </c:pt>
                <c:pt idx="163">
                  <c:v>7311939.3999999985</c:v>
                </c:pt>
                <c:pt idx="164">
                  <c:v>7368777.1999999993</c:v>
                </c:pt>
                <c:pt idx="165">
                  <c:v>7425615</c:v>
                </c:pt>
                <c:pt idx="166">
                  <c:v>7482452.8000000007</c:v>
                </c:pt>
                <c:pt idx="167">
                  <c:v>7539290.6000000015</c:v>
                </c:pt>
                <c:pt idx="168">
                  <c:v>7596128.3999999985</c:v>
                </c:pt>
                <c:pt idx="169">
                  <c:v>7652966.1999999993</c:v>
                </c:pt>
                <c:pt idx="170">
                  <c:v>7709804</c:v>
                </c:pt>
                <c:pt idx="171">
                  <c:v>7766641.8000000007</c:v>
                </c:pt>
                <c:pt idx="172">
                  <c:v>7823479.5999999996</c:v>
                </c:pt>
                <c:pt idx="173">
                  <c:v>7880317.4000000004</c:v>
                </c:pt>
                <c:pt idx="174">
                  <c:v>7937155.2000000011</c:v>
                </c:pt>
                <c:pt idx="175">
                  <c:v>7993992.9999999981</c:v>
                </c:pt>
                <c:pt idx="176">
                  <c:v>8050830.7999999989</c:v>
                </c:pt>
                <c:pt idx="177">
                  <c:v>8107668.5999999996</c:v>
                </c:pt>
                <c:pt idx="178">
                  <c:v>8164506.4000000004</c:v>
                </c:pt>
                <c:pt idx="179">
                  <c:v>8221344.2000000011</c:v>
                </c:pt>
                <c:pt idx="180">
                  <c:v>8278182.0000000019</c:v>
                </c:pt>
                <c:pt idx="181">
                  <c:v>8335019.7999999989</c:v>
                </c:pt>
                <c:pt idx="182">
                  <c:v>8391857.5999999996</c:v>
                </c:pt>
                <c:pt idx="183">
                  <c:v>8448695.4000000004</c:v>
                </c:pt>
                <c:pt idx="184">
                  <c:v>8505533.1999999993</c:v>
                </c:pt>
                <c:pt idx="185">
                  <c:v>8562371</c:v>
                </c:pt>
                <c:pt idx="186">
                  <c:v>8619208.8000000007</c:v>
                </c:pt>
                <c:pt idx="187">
                  <c:v>8676046.5999999996</c:v>
                </c:pt>
                <c:pt idx="188">
                  <c:v>8732884.3999999985</c:v>
                </c:pt>
                <c:pt idx="189">
                  <c:v>8789722.1999999993</c:v>
                </c:pt>
                <c:pt idx="190">
                  <c:v>8846560</c:v>
                </c:pt>
              </c:numCache>
            </c:numRef>
          </c:val>
          <c:smooth val="1"/>
          <c:extLst>
            <c:ext xmlns:c16="http://schemas.microsoft.com/office/drawing/2014/chart" uri="{C3380CC4-5D6E-409C-BE32-E72D297353CC}">
              <c16:uniqueId val="{00000000-20C1-4AB4-9077-CADDA0B0B691}"/>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US"/>
                  <a:t>Average Daily Census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Annual Profit ($)</a:t>
                </a:r>
              </a:p>
            </c:rich>
          </c:tx>
          <c:overlay val="1"/>
        </c:title>
        <c:numFmt formatCode="\$#,##0;[Red]\(\$#,##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Current Staffing FTE by Role</a:t>
            </a:r>
          </a:p>
        </c:rich>
      </c:tx>
      <c:overlay val="1"/>
    </c:title>
    <c:autoTitleDeleted val="0"/>
    <c:plotArea>
      <c:layout/>
      <c:barChart>
        <c:barDir val="col"/>
        <c:grouping val="clustered"/>
        <c:varyColors val="1"/>
        <c:ser>
          <c:idx val="0"/>
          <c:order val="0"/>
          <c:tx>
            <c:strRef>
              <c:f>Staffing_Assumptions!$F$1</c:f>
              <c:strCache>
                <c:ptCount val="1"/>
                <c:pt idx="0">
                  <c:v>Chosen FTE</c:v>
                </c:pt>
              </c:strCache>
            </c:strRef>
          </c:tx>
          <c:spPr>
            <a:ln>
              <a:prstDash val="solid"/>
            </a:ln>
          </c:spPr>
          <c:invertIfNegative val="1"/>
          <c:cat>
            <c:strRef>
              <c:f>Staffing_Assumptions!$A$2:$A$13</c:f>
              <c:strCache>
                <c:ptCount val="12"/>
                <c:pt idx="0">
                  <c:v>Executive Director</c:v>
                </c:pt>
                <c:pt idx="1">
                  <c:v>Supervisor RN Case Manager</c:v>
                </c:pt>
                <c:pt idx="2">
                  <c:v>RN Case Manager</c:v>
                </c:pt>
                <c:pt idx="3">
                  <c:v>Hospice Aide</c:v>
                </c:pt>
                <c:pt idx="4">
                  <c:v>Social Worker</c:v>
                </c:pt>
                <c:pt idx="5">
                  <c:v>Chaplain</c:v>
                </c:pt>
                <c:pt idx="6">
                  <c:v>After Hours RN</c:v>
                </c:pt>
                <c:pt idx="7">
                  <c:v>Weekend RN</c:v>
                </c:pt>
                <c:pt idx="8">
                  <c:v>Intake Coordinator</c:v>
                </c:pt>
                <c:pt idx="9">
                  <c:v>Secretary</c:v>
                </c:pt>
                <c:pt idx="10">
                  <c:v>Sales Rep / Marketer</c:v>
                </c:pt>
                <c:pt idx="11">
                  <c:v>Medical Director Contract</c:v>
                </c:pt>
              </c:strCache>
            </c:strRef>
          </c:cat>
          <c:val>
            <c:numRef>
              <c:f>Staffing_Assumptions!$F$2:$F$13</c:f>
              <c:numCache>
                <c:formatCode>General</c:formatCode>
                <c:ptCount val="12"/>
                <c:pt idx="0">
                  <c:v>1</c:v>
                </c:pt>
                <c:pt idx="1">
                  <c:v>1</c:v>
                </c:pt>
                <c:pt idx="2">
                  <c:v>5</c:v>
                </c:pt>
                <c:pt idx="3">
                  <c:v>6</c:v>
                </c:pt>
                <c:pt idx="4">
                  <c:v>2</c:v>
                </c:pt>
                <c:pt idx="5">
                  <c:v>2</c:v>
                </c:pt>
                <c:pt idx="6">
                  <c:v>1</c:v>
                </c:pt>
                <c:pt idx="7">
                  <c:v>1</c:v>
                </c:pt>
                <c:pt idx="8">
                  <c:v>1</c:v>
                </c:pt>
                <c:pt idx="9">
                  <c:v>1</c:v>
                </c:pt>
                <c:pt idx="10">
                  <c:v>3</c:v>
                </c:pt>
                <c:pt idx="11">
                  <c:v>1</c:v>
                </c:pt>
              </c:numCache>
            </c:numRef>
          </c:val>
          <c:extLst>
            <c:ext xmlns:c16="http://schemas.microsoft.com/office/drawing/2014/chart" uri="{C3380CC4-5D6E-409C-BE32-E72D297353CC}">
              <c16:uniqueId val="{00000000-E791-45C6-8BE1-C240970D5DEB}"/>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Role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FTE</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9</xdr:row>
      <xdr:rowOff>0</xdr:rowOff>
    </xdr:from>
    <xdr:ext cx="5400000" cy="288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9</xdr:row>
      <xdr:rowOff>0</xdr:rowOff>
    </xdr:from>
    <xdr:ext cx="5400000" cy="288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tabSelected="1" workbookViewId="0">
      <pane ySplit="1" topLeftCell="A4" activePane="bottomLeft" state="frozen"/>
      <selection pane="bottomLeft" activeCell="D14" sqref="D14"/>
    </sheetView>
  </sheetViews>
  <sheetFormatPr defaultRowHeight="14.4" x14ac:dyDescent="0.3"/>
  <cols>
    <col min="1" max="1" width="49.77734375" bestFit="1" customWidth="1"/>
    <col min="2" max="2" width="14" style="13" customWidth="1"/>
    <col min="3" max="3" width="3.33203125" customWidth="1"/>
    <col min="4" max="4" width="55" customWidth="1"/>
    <col min="5" max="5" width="3.109375" customWidth="1"/>
    <col min="6" max="6" width="25.44140625" bestFit="1" customWidth="1"/>
    <col min="7" max="7" width="16" style="13" customWidth="1"/>
  </cols>
  <sheetData>
    <row r="1" spans="1:7" ht="21" x14ac:dyDescent="0.4">
      <c r="A1" s="1" t="s">
        <v>0</v>
      </c>
    </row>
    <row r="2" spans="1:7" x14ac:dyDescent="0.3">
      <c r="A2" s="2" t="s">
        <v>1</v>
      </c>
    </row>
    <row r="4" spans="1:7" x14ac:dyDescent="0.3">
      <c r="A4" s="3" t="s">
        <v>2</v>
      </c>
      <c r="F4" s="3" t="s">
        <v>3</v>
      </c>
    </row>
    <row r="5" spans="1:7" x14ac:dyDescent="0.3">
      <c r="A5" t="s">
        <v>4</v>
      </c>
      <c r="B5" s="23" t="s">
        <v>5</v>
      </c>
    </row>
    <row r="6" spans="1:7" x14ac:dyDescent="0.3">
      <c r="F6" s="4" t="s">
        <v>6</v>
      </c>
      <c r="G6" s="28">
        <f>MIN(60,$B$9)/$B$9*$B$10 + MAX($B$9-60,0)/$B$9*$B$11</f>
        <v>208.72</v>
      </c>
    </row>
    <row r="7" spans="1:7" x14ac:dyDescent="0.3">
      <c r="F7" s="4" t="s">
        <v>7</v>
      </c>
      <c r="G7" s="28">
        <f>$B$12+$B$13+$B$14+$B$15+$B$16</f>
        <v>53</v>
      </c>
    </row>
    <row r="8" spans="1:7" ht="28.8" x14ac:dyDescent="0.3">
      <c r="A8" s="5" t="s">
        <v>8</v>
      </c>
      <c r="B8" s="24">
        <f>VLOOKUP($B$5,Scenario_Assumptions!$A$2:$N$4,2,FALSE)</f>
        <v>70</v>
      </c>
      <c r="D8" s="6" t="s">
        <v>9</v>
      </c>
      <c r="F8" s="4" t="s">
        <v>10</v>
      </c>
      <c r="G8" s="28">
        <f>G6-G7</f>
        <v>155.72</v>
      </c>
    </row>
    <row r="9" spans="1:7" ht="28.8" x14ac:dyDescent="0.3">
      <c r="A9" s="5" t="s">
        <v>11</v>
      </c>
      <c r="B9" s="24">
        <f>VLOOKUP($B$5,Scenario_Assumptions!$A$2:$N$4,3,FALSE)</f>
        <v>90</v>
      </c>
      <c r="D9" s="6" t="s">
        <v>12</v>
      </c>
      <c r="F9" s="4" t="s">
        <v>13</v>
      </c>
      <c r="G9" s="28">
        <f>SUM(Staffing_Assumptions!H2:H13)</f>
        <v>2065000</v>
      </c>
    </row>
    <row r="10" spans="1:7" x14ac:dyDescent="0.3">
      <c r="A10" s="5" t="s">
        <v>14</v>
      </c>
      <c r="B10" s="25">
        <f>VLOOKUP($B$5,Scenario_Assumptions!$A$2:$N$4,4,FALSE)</f>
        <v>224.62</v>
      </c>
      <c r="D10" s="6" t="s">
        <v>15</v>
      </c>
      <c r="F10" s="4" t="s">
        <v>16</v>
      </c>
      <c r="G10" s="28">
        <f>$B$17*12</f>
        <v>456000</v>
      </c>
    </row>
    <row r="11" spans="1:7" x14ac:dyDescent="0.3">
      <c r="A11" s="5" t="s">
        <v>17</v>
      </c>
      <c r="B11" s="25">
        <f>VLOOKUP($B$5,Scenario_Assumptions!$A$2:$N$4,5,FALSE)</f>
        <v>176.92</v>
      </c>
      <c r="D11" s="6" t="s">
        <v>18</v>
      </c>
      <c r="F11" s="4" t="s">
        <v>19</v>
      </c>
      <c r="G11" s="28">
        <f>G9+G10</f>
        <v>2521000</v>
      </c>
    </row>
    <row r="12" spans="1:7" x14ac:dyDescent="0.3">
      <c r="A12" s="5" t="s">
        <v>20</v>
      </c>
      <c r="B12" s="25">
        <f>VLOOKUP($B$5,Scenario_Assumptions!$A$2:$N$4,6,FALSE)</f>
        <v>22</v>
      </c>
      <c r="D12" s="6" t="s">
        <v>21</v>
      </c>
      <c r="F12" s="4" t="s">
        <v>22</v>
      </c>
      <c r="G12" s="29">
        <f>IF(G8&lt;=0,"n/a",G11/(G8*365))</f>
        <v>44.354285352353536</v>
      </c>
    </row>
    <row r="13" spans="1:7" x14ac:dyDescent="0.3">
      <c r="A13" s="5" t="s">
        <v>23</v>
      </c>
      <c r="B13" s="25">
        <f>VLOOKUP($B$5,Scenario_Assumptions!$A$2:$N$4,7,FALSE)</f>
        <v>10</v>
      </c>
      <c r="D13" s="6" t="s">
        <v>24</v>
      </c>
      <c r="F13" s="4" t="s">
        <v>25</v>
      </c>
      <c r="G13" s="29">
        <f>IF((1-$B$19)*G6-G7&lt;=0,"n/a",G11/(((1-$B$19)*G6-G7)*365))</f>
        <v>53.713684457053724</v>
      </c>
    </row>
    <row r="14" spans="1:7" x14ac:dyDescent="0.3">
      <c r="A14" s="5" t="s">
        <v>26</v>
      </c>
      <c r="B14" s="25">
        <f>VLOOKUP($B$5,Scenario_Assumptions!$A$2:$N$4,8,FALSE)</f>
        <v>10</v>
      </c>
      <c r="D14" s="6" t="s">
        <v>27</v>
      </c>
      <c r="F14" s="4" t="s">
        <v>28</v>
      </c>
      <c r="G14" s="29">
        <f>$B$8/$B$9*30</f>
        <v>23.333333333333332</v>
      </c>
    </row>
    <row r="15" spans="1:7" x14ac:dyDescent="0.3">
      <c r="A15" s="5" t="s">
        <v>29</v>
      </c>
      <c r="B15" s="25">
        <f>VLOOKUP($B$5,Scenario_Assumptions!$A$2:$N$4,9,FALSE)</f>
        <v>6</v>
      </c>
      <c r="D15" s="6" t="s">
        <v>30</v>
      </c>
      <c r="F15" s="4" t="s">
        <v>31</v>
      </c>
      <c r="G15" s="30">
        <f>ROUNDUP(G14/$B$20,0)</f>
        <v>3</v>
      </c>
    </row>
    <row r="16" spans="1:7" x14ac:dyDescent="0.3">
      <c r="A16" s="5" t="s">
        <v>32</v>
      </c>
      <c r="B16" s="25">
        <f>VLOOKUP($B$5,Scenario_Assumptions!$A$2:$N$4,10,FALSE)</f>
        <v>5</v>
      </c>
      <c r="D16" s="6" t="s">
        <v>33</v>
      </c>
    </row>
    <row r="17" spans="1:4" ht="28.8" x14ac:dyDescent="0.3">
      <c r="A17" s="5" t="s">
        <v>34</v>
      </c>
      <c r="B17" s="26">
        <f>VLOOKUP($B$5,Scenario_Assumptions!$A$2:$N$4,11,FALSE)</f>
        <v>38000</v>
      </c>
      <c r="D17" s="6" t="s">
        <v>35</v>
      </c>
    </row>
    <row r="18" spans="1:4" x14ac:dyDescent="0.3">
      <c r="A18" s="5" t="s">
        <v>36</v>
      </c>
      <c r="B18" s="26">
        <f>VLOOKUP($B$5,Scenario_Assumptions!$A$2:$N$4,12,FALSE)</f>
        <v>250000</v>
      </c>
      <c r="D18" s="6" t="s">
        <v>37</v>
      </c>
    </row>
    <row r="19" spans="1:4" x14ac:dyDescent="0.3">
      <c r="A19" s="5" t="s">
        <v>38</v>
      </c>
      <c r="B19" s="27">
        <f>VLOOKUP($B$5,Scenario_Assumptions!$A$2:$N$4,13,FALSE)</f>
        <v>0.13</v>
      </c>
      <c r="D19" s="6" t="s">
        <v>39</v>
      </c>
    </row>
    <row r="20" spans="1:4" ht="28.8" x14ac:dyDescent="0.3">
      <c r="A20" s="5" t="s">
        <v>40</v>
      </c>
      <c r="B20" s="24">
        <f>VLOOKUP($B$5,Scenario_Assumptions!$A$2:$N$4,14,FALSE)</f>
        <v>8</v>
      </c>
      <c r="D20" s="6" t="s">
        <v>41</v>
      </c>
    </row>
    <row r="21" spans="1:4" x14ac:dyDescent="0.3">
      <c r="A21" s="5" t="s">
        <v>42</v>
      </c>
      <c r="B21" s="24">
        <v>15</v>
      </c>
      <c r="D21" s="6" t="s">
        <v>43</v>
      </c>
    </row>
    <row r="22" spans="1:4" x14ac:dyDescent="0.3">
      <c r="A22" s="5" t="s">
        <v>44</v>
      </c>
      <c r="B22" s="24">
        <v>12</v>
      </c>
      <c r="D22" s="6" t="s">
        <v>45</v>
      </c>
    </row>
    <row r="23" spans="1:4" x14ac:dyDescent="0.3">
      <c r="A23" s="5" t="s">
        <v>46</v>
      </c>
      <c r="B23" s="24">
        <v>35</v>
      </c>
      <c r="D23" s="6" t="s">
        <v>47</v>
      </c>
    </row>
    <row r="24" spans="1:4" x14ac:dyDescent="0.3">
      <c r="A24" s="5" t="s">
        <v>48</v>
      </c>
      <c r="B24" s="24">
        <v>55</v>
      </c>
      <c r="D24" s="6" t="s">
        <v>49</v>
      </c>
    </row>
  </sheetData>
  <dataValidations count="1">
    <dataValidation type="list" sqref="B5" xr:uid="{00000000-0002-0000-0000-000000000000}">
      <formula1>"Lean,Base,High Acuity"</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
  <sheetViews>
    <sheetView workbookViewId="0">
      <pane ySplit="1" topLeftCell="A2" activePane="bottomLeft" state="frozen"/>
      <selection pane="bottomLeft" activeCell="A25" sqref="A25"/>
    </sheetView>
  </sheetViews>
  <sheetFormatPr defaultRowHeight="14.4" x14ac:dyDescent="0.3"/>
  <cols>
    <col min="1" max="1" width="18" customWidth="1"/>
    <col min="2" max="2" width="12" style="13" customWidth="1"/>
    <col min="3" max="3" width="14" style="13" customWidth="1"/>
    <col min="4" max="4" width="16" style="13" customWidth="1"/>
    <col min="5" max="6" width="14" style="13" customWidth="1"/>
    <col min="7" max="10" width="12" style="13" customWidth="1"/>
    <col min="11" max="11" width="16" style="13" customWidth="1"/>
    <col min="12" max="12" width="14" style="13" customWidth="1"/>
    <col min="13" max="13" width="12.77734375" style="13" bestFit="1" customWidth="1"/>
    <col min="14" max="14" width="19.33203125" style="13" bestFit="1" customWidth="1"/>
  </cols>
  <sheetData>
    <row r="1" spans="1:14" x14ac:dyDescent="0.3">
      <c r="A1" s="3" t="s">
        <v>50</v>
      </c>
      <c r="B1" s="9" t="s">
        <v>8</v>
      </c>
      <c r="C1" s="9" t="s">
        <v>51</v>
      </c>
      <c r="D1" s="9" t="s">
        <v>52</v>
      </c>
      <c r="E1" s="9" t="s">
        <v>53</v>
      </c>
      <c r="F1" s="9" t="s">
        <v>54</v>
      </c>
      <c r="G1" s="9" t="s">
        <v>55</v>
      </c>
      <c r="H1" s="9" t="s">
        <v>56</v>
      </c>
      <c r="I1" s="9" t="s">
        <v>57</v>
      </c>
      <c r="J1" s="9" t="s">
        <v>58</v>
      </c>
      <c r="K1" s="9" t="s">
        <v>59</v>
      </c>
      <c r="L1" s="9" t="s">
        <v>60</v>
      </c>
      <c r="M1" s="9" t="s">
        <v>38</v>
      </c>
      <c r="N1" s="9" t="s">
        <v>61</v>
      </c>
    </row>
    <row r="2" spans="1:14" x14ac:dyDescent="0.3">
      <c r="A2" t="s">
        <v>62</v>
      </c>
      <c r="B2" s="10">
        <v>60</v>
      </c>
      <c r="C2" s="10">
        <v>95</v>
      </c>
      <c r="D2" s="11">
        <v>224.62</v>
      </c>
      <c r="E2" s="11">
        <v>176.92</v>
      </c>
      <c r="F2" s="11">
        <v>16</v>
      </c>
      <c r="G2" s="11">
        <v>8</v>
      </c>
      <c r="H2" s="11">
        <v>9</v>
      </c>
      <c r="I2" s="11">
        <v>5</v>
      </c>
      <c r="J2" s="11">
        <v>4</v>
      </c>
      <c r="K2" s="11">
        <v>32000</v>
      </c>
      <c r="L2" s="11">
        <v>250000</v>
      </c>
      <c r="M2" s="12">
        <v>0.13</v>
      </c>
      <c r="N2" s="10">
        <v>10</v>
      </c>
    </row>
    <row r="3" spans="1:14" x14ac:dyDescent="0.3">
      <c r="A3" t="s">
        <v>5</v>
      </c>
      <c r="B3" s="10">
        <v>70</v>
      </c>
      <c r="C3" s="10">
        <v>90</v>
      </c>
      <c r="D3" s="11">
        <v>224.62</v>
      </c>
      <c r="E3" s="11">
        <v>176.92</v>
      </c>
      <c r="F3" s="11">
        <v>22</v>
      </c>
      <c r="G3" s="11">
        <v>10</v>
      </c>
      <c r="H3" s="11">
        <v>10</v>
      </c>
      <c r="I3" s="11">
        <v>6</v>
      </c>
      <c r="J3" s="11">
        <v>5</v>
      </c>
      <c r="K3" s="11">
        <v>38000</v>
      </c>
      <c r="L3" s="11">
        <v>250000</v>
      </c>
      <c r="M3" s="12">
        <v>0.13</v>
      </c>
      <c r="N3" s="10">
        <v>8</v>
      </c>
    </row>
    <row r="4" spans="1:14" x14ac:dyDescent="0.3">
      <c r="A4" t="s">
        <v>63</v>
      </c>
      <c r="B4" s="10">
        <v>80</v>
      </c>
      <c r="C4" s="10">
        <v>75</v>
      </c>
      <c r="D4" s="11">
        <v>224.62</v>
      </c>
      <c r="E4" s="11">
        <v>176.92</v>
      </c>
      <c r="F4" s="11">
        <v>38</v>
      </c>
      <c r="G4" s="11">
        <v>15</v>
      </c>
      <c r="H4" s="11">
        <v>12</v>
      </c>
      <c r="I4" s="11">
        <v>7</v>
      </c>
      <c r="J4" s="11">
        <v>8</v>
      </c>
      <c r="K4" s="11">
        <v>42000</v>
      </c>
      <c r="L4" s="11">
        <v>250000</v>
      </c>
      <c r="M4" s="12">
        <v>0.13</v>
      </c>
      <c r="N4" s="10">
        <v>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
  <sheetViews>
    <sheetView workbookViewId="0">
      <pane ySplit="1" topLeftCell="A2" activePane="bottomLeft" state="frozen"/>
      <selection pane="bottomLeft" activeCell="E16" sqref="E16"/>
    </sheetView>
  </sheetViews>
  <sheetFormatPr defaultRowHeight="14.4" x14ac:dyDescent="0.3"/>
  <cols>
    <col min="1" max="1" width="25" customWidth="1"/>
    <col min="2" max="3" width="15" style="13" customWidth="1"/>
    <col min="4" max="4" width="18" style="13" customWidth="1"/>
    <col min="5" max="6" width="15" style="13" customWidth="1"/>
    <col min="7" max="7" width="16" style="13" customWidth="1"/>
    <col min="8" max="8" width="18" style="13" customWidth="1"/>
  </cols>
  <sheetData>
    <row r="1" spans="1:8" x14ac:dyDescent="0.3">
      <c r="A1" s="3" t="s">
        <v>64</v>
      </c>
      <c r="B1" s="9" t="s">
        <v>65</v>
      </c>
      <c r="C1" s="9" t="s">
        <v>66</v>
      </c>
      <c r="D1" s="9" t="s">
        <v>67</v>
      </c>
      <c r="E1" s="9" t="s">
        <v>68</v>
      </c>
      <c r="F1" s="9" t="s">
        <v>69</v>
      </c>
      <c r="G1" s="9" t="s">
        <v>70</v>
      </c>
      <c r="H1" s="9" t="s">
        <v>71</v>
      </c>
    </row>
    <row r="2" spans="1:8" x14ac:dyDescent="0.3">
      <c r="A2" t="s">
        <v>72</v>
      </c>
      <c r="B2" s="14">
        <v>140000</v>
      </c>
      <c r="C2" s="13">
        <v>1</v>
      </c>
      <c r="D2" s="13">
        <v>9999</v>
      </c>
      <c r="E2" s="13">
        <f>C2</f>
        <v>1</v>
      </c>
      <c r="F2" s="13">
        <f t="shared" ref="F2:F13" si="0">MAX(C2,E2)</f>
        <v>1</v>
      </c>
      <c r="G2" s="14">
        <f t="shared" ref="G2:G13" si="1">B2*F2/12</f>
        <v>11666.666666666666</v>
      </c>
      <c r="H2" s="14">
        <f t="shared" ref="H2:H13" si="2">B2*F2</f>
        <v>140000</v>
      </c>
    </row>
    <row r="3" spans="1:8" x14ac:dyDescent="0.3">
      <c r="A3" t="s">
        <v>73</v>
      </c>
      <c r="B3" s="14">
        <v>110000</v>
      </c>
      <c r="C3" s="13">
        <v>1</v>
      </c>
      <c r="D3" s="13">
        <v>9999</v>
      </c>
      <c r="E3" s="13">
        <f>C3</f>
        <v>1</v>
      </c>
      <c r="F3" s="13">
        <f t="shared" si="0"/>
        <v>1</v>
      </c>
      <c r="G3" s="14">
        <f t="shared" si="1"/>
        <v>9166.6666666666661</v>
      </c>
      <c r="H3" s="14">
        <f t="shared" si="2"/>
        <v>110000</v>
      </c>
    </row>
    <row r="4" spans="1:8" x14ac:dyDescent="0.3">
      <c r="A4" t="s">
        <v>74</v>
      </c>
      <c r="B4" s="14">
        <v>100000</v>
      </c>
      <c r="C4" s="13">
        <v>3</v>
      </c>
      <c r="D4" s="13">
        <f>START_HERE!$B$21</f>
        <v>15</v>
      </c>
      <c r="E4" s="13">
        <f>ROUNDUP(START_HERE!$B$8/START_HERE!$B$21,0)</f>
        <v>5</v>
      </c>
      <c r="F4" s="13">
        <f t="shared" si="0"/>
        <v>5</v>
      </c>
      <c r="G4" s="14">
        <f t="shared" si="1"/>
        <v>41666.666666666664</v>
      </c>
      <c r="H4" s="14">
        <f t="shared" si="2"/>
        <v>500000</v>
      </c>
    </row>
    <row r="5" spans="1:8" x14ac:dyDescent="0.3">
      <c r="A5" t="s">
        <v>75</v>
      </c>
      <c r="B5" s="14">
        <v>50000</v>
      </c>
      <c r="C5" s="13">
        <v>6</v>
      </c>
      <c r="D5" s="13">
        <f>START_HERE!$B$22</f>
        <v>12</v>
      </c>
      <c r="E5" s="13">
        <f>ROUNDUP(START_HERE!$B$8/START_HERE!$B$22,0)</f>
        <v>6</v>
      </c>
      <c r="F5" s="13">
        <f t="shared" si="0"/>
        <v>6</v>
      </c>
      <c r="G5" s="14">
        <f t="shared" si="1"/>
        <v>25000</v>
      </c>
      <c r="H5" s="14">
        <f t="shared" si="2"/>
        <v>300000</v>
      </c>
    </row>
    <row r="6" spans="1:8" x14ac:dyDescent="0.3">
      <c r="A6" t="s">
        <v>76</v>
      </c>
      <c r="B6" s="14">
        <v>75000</v>
      </c>
      <c r="C6" s="13">
        <v>2</v>
      </c>
      <c r="D6" s="13">
        <f>START_HERE!$B$23</f>
        <v>35</v>
      </c>
      <c r="E6" s="13">
        <f>ROUNDUP(START_HERE!$B$8/START_HERE!$B$23,0)</f>
        <v>2</v>
      </c>
      <c r="F6" s="13">
        <f t="shared" si="0"/>
        <v>2</v>
      </c>
      <c r="G6" s="14">
        <f t="shared" si="1"/>
        <v>12500</v>
      </c>
      <c r="H6" s="14">
        <f t="shared" si="2"/>
        <v>150000</v>
      </c>
    </row>
    <row r="7" spans="1:8" x14ac:dyDescent="0.3">
      <c r="A7" t="s">
        <v>77</v>
      </c>
      <c r="B7" s="14">
        <v>70000</v>
      </c>
      <c r="C7" s="13">
        <v>1</v>
      </c>
      <c r="D7" s="13">
        <f>START_HERE!$B$24</f>
        <v>55</v>
      </c>
      <c r="E7" s="13">
        <f>ROUNDUP(START_HERE!$B$8/START_HERE!$B$24,0)</f>
        <v>2</v>
      </c>
      <c r="F7" s="13">
        <f t="shared" si="0"/>
        <v>2</v>
      </c>
      <c r="G7" s="14">
        <f t="shared" si="1"/>
        <v>11666.666666666666</v>
      </c>
      <c r="H7" s="14">
        <f t="shared" si="2"/>
        <v>140000</v>
      </c>
    </row>
    <row r="8" spans="1:8" x14ac:dyDescent="0.3">
      <c r="A8" t="s">
        <v>78</v>
      </c>
      <c r="B8" s="14">
        <v>95000</v>
      </c>
      <c r="C8" s="13">
        <v>1</v>
      </c>
      <c r="D8" s="13">
        <v>9999</v>
      </c>
      <c r="E8" s="13">
        <f>C8</f>
        <v>1</v>
      </c>
      <c r="F8" s="13">
        <f t="shared" si="0"/>
        <v>1</v>
      </c>
      <c r="G8" s="14">
        <f t="shared" si="1"/>
        <v>7916.666666666667</v>
      </c>
      <c r="H8" s="14">
        <f t="shared" si="2"/>
        <v>95000</v>
      </c>
    </row>
    <row r="9" spans="1:8" x14ac:dyDescent="0.3">
      <c r="A9" t="s">
        <v>79</v>
      </c>
      <c r="B9" s="14">
        <v>95000</v>
      </c>
      <c r="C9" s="13">
        <v>1</v>
      </c>
      <c r="D9" s="13">
        <v>9999</v>
      </c>
      <c r="E9" s="13">
        <f>C9</f>
        <v>1</v>
      </c>
      <c r="F9" s="13">
        <f t="shared" si="0"/>
        <v>1</v>
      </c>
      <c r="G9" s="14">
        <f t="shared" si="1"/>
        <v>7916.666666666667</v>
      </c>
      <c r="H9" s="14">
        <f t="shared" si="2"/>
        <v>95000</v>
      </c>
    </row>
    <row r="10" spans="1:8" x14ac:dyDescent="0.3">
      <c r="A10" t="s">
        <v>80</v>
      </c>
      <c r="B10" s="14">
        <v>60000</v>
      </c>
      <c r="C10" s="13">
        <v>1</v>
      </c>
      <c r="D10" s="13">
        <v>9999</v>
      </c>
      <c r="E10" s="13">
        <f>C10</f>
        <v>1</v>
      </c>
      <c r="F10" s="13">
        <f t="shared" si="0"/>
        <v>1</v>
      </c>
      <c r="G10" s="14">
        <f t="shared" si="1"/>
        <v>5000</v>
      </c>
      <c r="H10" s="14">
        <f t="shared" si="2"/>
        <v>60000</v>
      </c>
    </row>
    <row r="11" spans="1:8" x14ac:dyDescent="0.3">
      <c r="A11" t="s">
        <v>81</v>
      </c>
      <c r="B11" s="14">
        <v>55000</v>
      </c>
      <c r="C11" s="13">
        <v>1</v>
      </c>
      <c r="D11" s="13">
        <v>9999</v>
      </c>
      <c r="E11" s="13">
        <f>C11</f>
        <v>1</v>
      </c>
      <c r="F11" s="13">
        <f t="shared" si="0"/>
        <v>1</v>
      </c>
      <c r="G11" s="14">
        <f t="shared" si="1"/>
        <v>4583.333333333333</v>
      </c>
      <c r="H11" s="14">
        <f t="shared" si="2"/>
        <v>55000</v>
      </c>
    </row>
    <row r="12" spans="1:8" x14ac:dyDescent="0.3">
      <c r="A12" t="s">
        <v>82</v>
      </c>
      <c r="B12" s="14">
        <v>115000</v>
      </c>
      <c r="C12" s="13">
        <v>2</v>
      </c>
      <c r="D12" s="13">
        <f>START_HERE!$B$20</f>
        <v>8</v>
      </c>
      <c r="E12" s="13">
        <f>ROUNDUP(START_HERE!$G$14/START_HERE!$B$20,0)</f>
        <v>3</v>
      </c>
      <c r="F12" s="13">
        <f t="shared" si="0"/>
        <v>3</v>
      </c>
      <c r="G12" s="14">
        <f t="shared" si="1"/>
        <v>28750</v>
      </c>
      <c r="H12" s="14">
        <f t="shared" si="2"/>
        <v>345000</v>
      </c>
    </row>
    <row r="13" spans="1:8" x14ac:dyDescent="0.3">
      <c r="A13" t="s">
        <v>83</v>
      </c>
      <c r="B13" s="14">
        <v>75000</v>
      </c>
      <c r="C13" s="13">
        <v>1</v>
      </c>
      <c r="D13" s="13">
        <v>9999</v>
      </c>
      <c r="E13" s="13">
        <f>C13</f>
        <v>1</v>
      </c>
      <c r="F13" s="13">
        <f t="shared" si="0"/>
        <v>1</v>
      </c>
      <c r="G13" s="14">
        <f t="shared" si="1"/>
        <v>6250</v>
      </c>
      <c r="H13" s="14">
        <f t="shared" si="2"/>
        <v>75000</v>
      </c>
    </row>
    <row r="14" spans="1:8" x14ac:dyDescent="0.3">
      <c r="A14" s="4" t="s">
        <v>84</v>
      </c>
      <c r="G14" s="15">
        <f>SUM(G2:G13)</f>
        <v>172083.33333333334</v>
      </c>
      <c r="H14" s="15">
        <f>SUM(H2:H13)</f>
        <v>2065000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workbookViewId="0">
      <pane ySplit="1" topLeftCell="A2" activePane="bottomLeft" state="frozen"/>
      <selection pane="bottomLeft" activeCell="C15" sqref="C15"/>
    </sheetView>
  </sheetViews>
  <sheetFormatPr defaultRowHeight="14.4" x14ac:dyDescent="0.3"/>
  <cols>
    <col min="1" max="1" width="28.33203125" bestFit="1" customWidth="1"/>
    <col min="2" max="2" width="16" style="13" customWidth="1"/>
    <col min="3" max="3" width="60" customWidth="1"/>
  </cols>
  <sheetData>
    <row r="1" spans="1:3" ht="18" x14ac:dyDescent="0.35">
      <c r="A1" s="7" t="s">
        <v>85</v>
      </c>
    </row>
    <row r="3" spans="1:3" x14ac:dyDescent="0.3">
      <c r="A3" s="3" t="s">
        <v>86</v>
      </c>
      <c r="B3" s="9" t="s">
        <v>87</v>
      </c>
      <c r="C3" s="3" t="s">
        <v>88</v>
      </c>
    </row>
    <row r="4" spans="1:3" x14ac:dyDescent="0.3">
      <c r="A4" t="s">
        <v>8</v>
      </c>
      <c r="B4" s="16">
        <f>START_HERE!$B$8</f>
        <v>70</v>
      </c>
      <c r="C4" t="s">
        <v>89</v>
      </c>
    </row>
    <row r="5" spans="1:3" x14ac:dyDescent="0.3">
      <c r="A5" t="s">
        <v>90</v>
      </c>
      <c r="B5" s="16">
        <f>START_HERE!$B$9</f>
        <v>90</v>
      </c>
      <c r="C5" t="s">
        <v>91</v>
      </c>
    </row>
    <row r="6" spans="1:3" x14ac:dyDescent="0.3">
      <c r="A6" t="s">
        <v>28</v>
      </c>
      <c r="B6" s="16">
        <f>START_HERE!$G$14</f>
        <v>23.333333333333332</v>
      </c>
      <c r="C6" t="s">
        <v>92</v>
      </c>
    </row>
    <row r="7" spans="1:3" x14ac:dyDescent="0.3">
      <c r="A7" t="s">
        <v>93</v>
      </c>
      <c r="B7" s="16">
        <f>START_HERE!$B$20</f>
        <v>8</v>
      </c>
      <c r="C7" t="s">
        <v>94</v>
      </c>
    </row>
    <row r="8" spans="1:3" x14ac:dyDescent="0.3">
      <c r="A8" t="s">
        <v>31</v>
      </c>
      <c r="B8" s="16">
        <f>START_HERE!$G$15</f>
        <v>3</v>
      </c>
      <c r="C8" t="s">
        <v>95</v>
      </c>
    </row>
    <row r="9" spans="1:3" x14ac:dyDescent="0.3">
      <c r="A9" t="s">
        <v>96</v>
      </c>
      <c r="B9" s="16">
        <f>INDEX(Staffing_Assumptions!F:F,MATCH("Sales Rep / Marketer",Staffing_Assumptions!A:A,0))</f>
        <v>3</v>
      </c>
      <c r="C9" t="s">
        <v>97</v>
      </c>
    </row>
    <row r="10" spans="1:3" x14ac:dyDescent="0.3">
      <c r="A10" t="s">
        <v>98</v>
      </c>
      <c r="B10" s="16">
        <f>B8*B7-B6</f>
        <v>0.66666666666666785</v>
      </c>
      <c r="C10" t="s">
        <v>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3"/>
  <sheetViews>
    <sheetView workbookViewId="0">
      <pane ySplit="1" topLeftCell="A2" activePane="bottomLeft" state="frozen"/>
      <selection pane="bottomLeft" activeCell="E83" sqref="E83"/>
    </sheetView>
  </sheetViews>
  <sheetFormatPr defaultRowHeight="14.4" x14ac:dyDescent="0.3"/>
  <cols>
    <col min="1" max="1" width="8" style="13" customWidth="1"/>
    <col min="2" max="2" width="14" style="13" customWidth="1"/>
    <col min="3" max="4" width="15" style="13" customWidth="1"/>
    <col min="5" max="5" width="14" style="13" customWidth="1"/>
    <col min="6" max="7" width="12" style="13" customWidth="1"/>
    <col min="8" max="8" width="14" style="13" customWidth="1"/>
    <col min="9" max="9" width="18" customWidth="1"/>
  </cols>
  <sheetData>
    <row r="1" spans="1:9" x14ac:dyDescent="0.3">
      <c r="A1" s="9" t="s">
        <v>100</v>
      </c>
      <c r="B1" s="9" t="s">
        <v>101</v>
      </c>
      <c r="C1" s="9" t="s">
        <v>102</v>
      </c>
      <c r="D1" s="9" t="s">
        <v>103</v>
      </c>
      <c r="E1" s="9" t="s">
        <v>104</v>
      </c>
      <c r="F1" s="9" t="s">
        <v>105</v>
      </c>
      <c r="G1" s="9" t="s">
        <v>106</v>
      </c>
      <c r="H1" s="9" t="s">
        <v>107</v>
      </c>
      <c r="I1" s="3" t="s">
        <v>108</v>
      </c>
    </row>
    <row r="2" spans="1:9" x14ac:dyDescent="0.3">
      <c r="A2" s="13">
        <v>10</v>
      </c>
      <c r="B2" s="17">
        <f>START_HERE!$G$6</f>
        <v>208.72</v>
      </c>
      <c r="C2" s="17">
        <f>START_HERE!$G$7</f>
        <v>53</v>
      </c>
      <c r="D2" s="14">
        <f t="shared" ref="D2:D33" si="0">A2*B2*365</f>
        <v>761827.99999999988</v>
      </c>
      <c r="E2" s="14">
        <f t="shared" ref="E2:E33" si="1">A2*C2*365</f>
        <v>193450</v>
      </c>
      <c r="F2" s="14">
        <f>START_HERE!$G$9+START_HERE!$G$10</f>
        <v>2521000</v>
      </c>
      <c r="G2" s="14">
        <f t="shared" ref="G2:G33" si="2">D2-E2-F2</f>
        <v>-1952622</v>
      </c>
      <c r="H2" s="18">
        <f t="shared" ref="H2:H33" si="3">IF(D2=0,0,G2/D2)</f>
        <v>-2.5630746047664306</v>
      </c>
      <c r="I2" t="str">
        <f>IF(G2&lt;0,"Below break even",IF(H2&lt;START_HERE!$B$19,"Profitable but below target","At or above target"))</f>
        <v>Below break even</v>
      </c>
    </row>
    <row r="3" spans="1:9" x14ac:dyDescent="0.3">
      <c r="A3" s="13">
        <v>11</v>
      </c>
      <c r="B3" s="17">
        <f>START_HERE!$G$6</f>
        <v>208.72</v>
      </c>
      <c r="C3" s="17">
        <f>START_HERE!$G$7</f>
        <v>53</v>
      </c>
      <c r="D3" s="14">
        <f t="shared" si="0"/>
        <v>838010.8</v>
      </c>
      <c r="E3" s="14">
        <f t="shared" si="1"/>
        <v>212795</v>
      </c>
      <c r="F3" s="14">
        <f>START_HERE!$G$9+START_HERE!$G$10</f>
        <v>2521000</v>
      </c>
      <c r="G3" s="14">
        <f t="shared" si="2"/>
        <v>-1895784.2</v>
      </c>
      <c r="H3" s="18">
        <f t="shared" si="3"/>
        <v>-2.2622431596346968</v>
      </c>
      <c r="I3" t="str">
        <f>IF(G3&lt;0,"Below break even",IF(H3&lt;START_HERE!$B$19,"Profitable but below target","At or above target"))</f>
        <v>Below break even</v>
      </c>
    </row>
    <row r="4" spans="1:9" x14ac:dyDescent="0.3">
      <c r="A4" s="13">
        <v>12</v>
      </c>
      <c r="B4" s="17">
        <f>START_HERE!$G$6</f>
        <v>208.72</v>
      </c>
      <c r="C4" s="17">
        <f>START_HERE!$G$7</f>
        <v>53</v>
      </c>
      <c r="D4" s="14">
        <f t="shared" si="0"/>
        <v>914193.6</v>
      </c>
      <c r="E4" s="14">
        <f t="shared" si="1"/>
        <v>232140</v>
      </c>
      <c r="F4" s="14">
        <f>START_HERE!$G$9+START_HERE!$G$10</f>
        <v>2521000</v>
      </c>
      <c r="G4" s="14">
        <f t="shared" si="2"/>
        <v>-1838946.4</v>
      </c>
      <c r="H4" s="18">
        <f t="shared" si="3"/>
        <v>-2.0115502886915855</v>
      </c>
      <c r="I4" t="str">
        <f>IF(G4&lt;0,"Below break even",IF(H4&lt;START_HERE!$B$19,"Profitable but below target","At or above target"))</f>
        <v>Below break even</v>
      </c>
    </row>
    <row r="5" spans="1:9" x14ac:dyDescent="0.3">
      <c r="A5" s="13">
        <v>13</v>
      </c>
      <c r="B5" s="17">
        <f>START_HERE!$G$6</f>
        <v>208.72</v>
      </c>
      <c r="C5" s="17">
        <f>START_HERE!$G$7</f>
        <v>53</v>
      </c>
      <c r="D5" s="14">
        <f t="shared" si="0"/>
        <v>990376.4</v>
      </c>
      <c r="E5" s="14">
        <f t="shared" si="1"/>
        <v>251485</v>
      </c>
      <c r="F5" s="14">
        <f>START_HERE!$G$9+START_HERE!$G$10</f>
        <v>2521000</v>
      </c>
      <c r="G5" s="14">
        <f t="shared" si="2"/>
        <v>-1782108.6</v>
      </c>
      <c r="H5" s="18">
        <f t="shared" si="3"/>
        <v>-1.7994255517397224</v>
      </c>
      <c r="I5" t="str">
        <f>IF(G5&lt;0,"Below break even",IF(H5&lt;START_HERE!$B$19,"Profitable but below target","At or above target"))</f>
        <v>Below break even</v>
      </c>
    </row>
    <row r="6" spans="1:9" x14ac:dyDescent="0.3">
      <c r="A6" s="13">
        <v>14</v>
      </c>
      <c r="B6" s="17">
        <f>START_HERE!$G$6</f>
        <v>208.72</v>
      </c>
      <c r="C6" s="17">
        <f>START_HERE!$G$7</f>
        <v>53</v>
      </c>
      <c r="D6" s="14">
        <f t="shared" si="0"/>
        <v>1066559.2</v>
      </c>
      <c r="E6" s="14">
        <f t="shared" si="1"/>
        <v>270830</v>
      </c>
      <c r="F6" s="14">
        <f>START_HERE!$G$9+START_HERE!$G$10</f>
        <v>2521000</v>
      </c>
      <c r="G6" s="14">
        <f t="shared" si="2"/>
        <v>-1725270.8</v>
      </c>
      <c r="H6" s="18">
        <f t="shared" si="3"/>
        <v>-1.6176043486381253</v>
      </c>
      <c r="I6" t="str">
        <f>IF(G6&lt;0,"Below break even",IF(H6&lt;START_HERE!$B$19,"Profitable but below target","At or above target"))</f>
        <v>Below break even</v>
      </c>
    </row>
    <row r="7" spans="1:9" x14ac:dyDescent="0.3">
      <c r="A7" s="13">
        <v>15</v>
      </c>
      <c r="B7" s="17">
        <f>START_HERE!$G$6</f>
        <v>208.72</v>
      </c>
      <c r="C7" s="17">
        <f>START_HERE!$G$7</f>
        <v>53</v>
      </c>
      <c r="D7" s="14">
        <f t="shared" si="0"/>
        <v>1142742</v>
      </c>
      <c r="E7" s="14">
        <f t="shared" si="1"/>
        <v>290175</v>
      </c>
      <c r="F7" s="14">
        <f>START_HERE!$G$9+START_HERE!$G$10</f>
        <v>2521000</v>
      </c>
      <c r="G7" s="14">
        <f t="shared" si="2"/>
        <v>-1668433</v>
      </c>
      <c r="H7" s="18">
        <f t="shared" si="3"/>
        <v>-1.4600259726167411</v>
      </c>
      <c r="I7" t="str">
        <f>IF(G7&lt;0,"Below break even",IF(H7&lt;START_HERE!$B$19,"Profitable but below target","At or above target"))</f>
        <v>Below break even</v>
      </c>
    </row>
    <row r="8" spans="1:9" x14ac:dyDescent="0.3">
      <c r="A8" s="13">
        <v>16</v>
      </c>
      <c r="B8" s="17">
        <f>START_HERE!$G$6</f>
        <v>208.72</v>
      </c>
      <c r="C8" s="17">
        <f>START_HERE!$G$7</f>
        <v>53</v>
      </c>
      <c r="D8" s="14">
        <f t="shared" si="0"/>
        <v>1218924.8</v>
      </c>
      <c r="E8" s="14">
        <f t="shared" si="1"/>
        <v>309520</v>
      </c>
      <c r="F8" s="14">
        <f>START_HERE!$G$9+START_HERE!$G$10</f>
        <v>2521000</v>
      </c>
      <c r="G8" s="14">
        <f t="shared" si="2"/>
        <v>-1611595.2</v>
      </c>
      <c r="H8" s="18">
        <f t="shared" si="3"/>
        <v>-1.32214489359803</v>
      </c>
      <c r="I8" t="str">
        <f>IF(G8&lt;0,"Below break even",IF(H8&lt;START_HERE!$B$19,"Profitable but below target","At or above target"))</f>
        <v>Below break even</v>
      </c>
    </row>
    <row r="9" spans="1:9" x14ac:dyDescent="0.3">
      <c r="A9" s="13">
        <v>17</v>
      </c>
      <c r="B9" s="17">
        <f>START_HERE!$G$6</f>
        <v>208.72</v>
      </c>
      <c r="C9" s="17">
        <f>START_HERE!$G$7</f>
        <v>53</v>
      </c>
      <c r="D9" s="14">
        <f t="shared" si="0"/>
        <v>1295107.5999999999</v>
      </c>
      <c r="E9" s="14">
        <f t="shared" si="1"/>
        <v>328865</v>
      </c>
      <c r="F9" s="14">
        <f>START_HERE!$G$9+START_HERE!$G$10</f>
        <v>2521000</v>
      </c>
      <c r="G9" s="14">
        <f t="shared" si="2"/>
        <v>-1554757.4000000001</v>
      </c>
      <c r="H9" s="18">
        <f t="shared" si="3"/>
        <v>-1.2004851179932852</v>
      </c>
      <c r="I9" t="str">
        <f>IF(G9&lt;0,"Below break even",IF(H9&lt;START_HERE!$B$19,"Profitable but below target","At or above target"))</f>
        <v>Below break even</v>
      </c>
    </row>
    <row r="10" spans="1:9" x14ac:dyDescent="0.3">
      <c r="A10" s="13">
        <v>18</v>
      </c>
      <c r="B10" s="17">
        <f>START_HERE!$G$6</f>
        <v>208.72</v>
      </c>
      <c r="C10" s="17">
        <f>START_HERE!$G$7</f>
        <v>53</v>
      </c>
      <c r="D10" s="14">
        <f t="shared" si="0"/>
        <v>1371290.4</v>
      </c>
      <c r="E10" s="14">
        <f t="shared" si="1"/>
        <v>348210</v>
      </c>
      <c r="F10" s="14">
        <f>START_HERE!$G$9+START_HERE!$G$10</f>
        <v>2521000</v>
      </c>
      <c r="G10" s="14">
        <f t="shared" si="2"/>
        <v>-1497919.6</v>
      </c>
      <c r="H10" s="18">
        <f t="shared" si="3"/>
        <v>-1.0923430952335116</v>
      </c>
      <c r="I10" t="str">
        <f>IF(G10&lt;0,"Below break even",IF(H10&lt;START_HERE!$B$19,"Profitable but below target","At or above target"))</f>
        <v>Below break even</v>
      </c>
    </row>
    <row r="11" spans="1:9" x14ac:dyDescent="0.3">
      <c r="A11" s="13">
        <v>19</v>
      </c>
      <c r="B11" s="17">
        <f>START_HERE!$G$6</f>
        <v>208.72</v>
      </c>
      <c r="C11" s="17">
        <f>START_HERE!$G$7</f>
        <v>53</v>
      </c>
      <c r="D11" s="14">
        <f t="shared" si="0"/>
        <v>1447473.2</v>
      </c>
      <c r="E11" s="14">
        <f t="shared" si="1"/>
        <v>367555</v>
      </c>
      <c r="F11" s="14">
        <f>START_HERE!$G$9+START_HERE!$G$10</f>
        <v>2521000</v>
      </c>
      <c r="G11" s="14">
        <f t="shared" si="2"/>
        <v>-1441081.8</v>
      </c>
      <c r="H11" s="18">
        <f t="shared" si="3"/>
        <v>-0.99558444329055629</v>
      </c>
      <c r="I11" t="str">
        <f>IF(G11&lt;0,"Below break even",IF(H11&lt;START_HERE!$B$19,"Profitable but below target","At or above target"))</f>
        <v>Below break even</v>
      </c>
    </row>
    <row r="12" spans="1:9" x14ac:dyDescent="0.3">
      <c r="A12" s="13">
        <v>20</v>
      </c>
      <c r="B12" s="17">
        <f>START_HERE!$G$6</f>
        <v>208.72</v>
      </c>
      <c r="C12" s="17">
        <f>START_HERE!$G$7</f>
        <v>53</v>
      </c>
      <c r="D12" s="14">
        <f t="shared" si="0"/>
        <v>1523655.9999999998</v>
      </c>
      <c r="E12" s="14">
        <f t="shared" si="1"/>
        <v>386900</v>
      </c>
      <c r="F12" s="14">
        <f>START_HERE!$G$9+START_HERE!$G$10</f>
        <v>2521000</v>
      </c>
      <c r="G12" s="14">
        <f t="shared" si="2"/>
        <v>-1384244.0000000002</v>
      </c>
      <c r="H12" s="18">
        <f t="shared" si="3"/>
        <v>-0.90850165654189685</v>
      </c>
      <c r="I12" t="str">
        <f>IF(G12&lt;0,"Below break even",IF(H12&lt;START_HERE!$B$19,"Profitable but below target","At or above target"))</f>
        <v>Below break even</v>
      </c>
    </row>
    <row r="13" spans="1:9" x14ac:dyDescent="0.3">
      <c r="A13" s="13">
        <v>21</v>
      </c>
      <c r="B13" s="17">
        <f>START_HERE!$G$6</f>
        <v>208.72</v>
      </c>
      <c r="C13" s="17">
        <f>START_HERE!$G$7</f>
        <v>53</v>
      </c>
      <c r="D13" s="14">
        <f t="shared" si="0"/>
        <v>1599838.8</v>
      </c>
      <c r="E13" s="14">
        <f t="shared" si="1"/>
        <v>406245</v>
      </c>
      <c r="F13" s="14">
        <f>START_HERE!$G$9+START_HERE!$G$10</f>
        <v>2521000</v>
      </c>
      <c r="G13" s="14">
        <f t="shared" si="2"/>
        <v>-1327406.2</v>
      </c>
      <c r="H13" s="18">
        <f t="shared" si="3"/>
        <v>-0.82971246853120451</v>
      </c>
      <c r="I13" t="str">
        <f>IF(G13&lt;0,"Below break even",IF(H13&lt;START_HERE!$B$19,"Profitable but below target","At or above target"))</f>
        <v>Below break even</v>
      </c>
    </row>
    <row r="14" spans="1:9" x14ac:dyDescent="0.3">
      <c r="A14" s="13">
        <v>22</v>
      </c>
      <c r="B14" s="17">
        <f>START_HERE!$G$6</f>
        <v>208.72</v>
      </c>
      <c r="C14" s="17">
        <f>START_HERE!$G$7</f>
        <v>53</v>
      </c>
      <c r="D14" s="14">
        <f t="shared" si="0"/>
        <v>1676021.6</v>
      </c>
      <c r="E14" s="14">
        <f t="shared" si="1"/>
        <v>425590</v>
      </c>
      <c r="F14" s="14">
        <f>START_HERE!$G$9+START_HERE!$G$10</f>
        <v>2521000</v>
      </c>
      <c r="G14" s="14">
        <f t="shared" si="2"/>
        <v>-1270568.3999999999</v>
      </c>
      <c r="H14" s="18">
        <f t="shared" si="3"/>
        <v>-0.75808593397602986</v>
      </c>
      <c r="I14" t="str">
        <f>IF(G14&lt;0,"Below break even",IF(H14&lt;START_HERE!$B$19,"Profitable but below target","At or above target"))</f>
        <v>Below break even</v>
      </c>
    </row>
    <row r="15" spans="1:9" x14ac:dyDescent="0.3">
      <c r="A15" s="13">
        <v>23</v>
      </c>
      <c r="B15" s="17">
        <f>START_HERE!$G$6</f>
        <v>208.72</v>
      </c>
      <c r="C15" s="17">
        <f>START_HERE!$G$7</f>
        <v>53</v>
      </c>
      <c r="D15" s="14">
        <f t="shared" si="0"/>
        <v>1752204.4000000001</v>
      </c>
      <c r="E15" s="14">
        <f t="shared" si="1"/>
        <v>444935</v>
      </c>
      <c r="F15" s="14">
        <f>START_HERE!$G$9+START_HERE!$G$10</f>
        <v>2521000</v>
      </c>
      <c r="G15" s="14">
        <f t="shared" si="2"/>
        <v>-1213730.5999999999</v>
      </c>
      <c r="H15" s="18">
        <f t="shared" si="3"/>
        <v>-0.69268779373000078</v>
      </c>
      <c r="I15" t="str">
        <f>IF(G15&lt;0,"Below break even",IF(H15&lt;START_HERE!$B$19,"Profitable but below target","At or above target"))</f>
        <v>Below break even</v>
      </c>
    </row>
    <row r="16" spans="1:9" x14ac:dyDescent="0.3">
      <c r="A16" s="13">
        <v>24</v>
      </c>
      <c r="B16" s="17">
        <f>START_HERE!$G$6</f>
        <v>208.72</v>
      </c>
      <c r="C16" s="17">
        <f>START_HERE!$G$7</f>
        <v>53</v>
      </c>
      <c r="D16" s="14">
        <f t="shared" si="0"/>
        <v>1828387.2</v>
      </c>
      <c r="E16" s="14">
        <f t="shared" si="1"/>
        <v>464280</v>
      </c>
      <c r="F16" s="14">
        <f>START_HERE!$G$9+START_HERE!$G$10</f>
        <v>2521000</v>
      </c>
      <c r="G16" s="14">
        <f t="shared" si="2"/>
        <v>-1156892.8</v>
      </c>
      <c r="H16" s="18">
        <f t="shared" si="3"/>
        <v>-0.63273949850447442</v>
      </c>
      <c r="I16" t="str">
        <f>IF(G16&lt;0,"Below break even",IF(H16&lt;START_HERE!$B$19,"Profitable but below target","At or above target"))</f>
        <v>Below break even</v>
      </c>
    </row>
    <row r="17" spans="1:9" x14ac:dyDescent="0.3">
      <c r="A17" s="13">
        <v>25</v>
      </c>
      <c r="B17" s="17">
        <f>START_HERE!$G$6</f>
        <v>208.72</v>
      </c>
      <c r="C17" s="17">
        <f>START_HERE!$G$7</f>
        <v>53</v>
      </c>
      <c r="D17" s="14">
        <f t="shared" si="0"/>
        <v>1904570</v>
      </c>
      <c r="E17" s="14">
        <f t="shared" si="1"/>
        <v>483625</v>
      </c>
      <c r="F17" s="14">
        <f>START_HERE!$G$9+START_HERE!$G$10</f>
        <v>2521000</v>
      </c>
      <c r="G17" s="14">
        <f t="shared" si="2"/>
        <v>-1100055</v>
      </c>
      <c r="H17" s="18">
        <f t="shared" si="3"/>
        <v>-0.57758706689698991</v>
      </c>
      <c r="I17" t="str">
        <f>IF(G17&lt;0,"Below break even",IF(H17&lt;START_HERE!$B$19,"Profitable but below target","At or above target"))</f>
        <v>Below break even</v>
      </c>
    </row>
    <row r="18" spans="1:9" x14ac:dyDescent="0.3">
      <c r="A18" s="13">
        <v>26</v>
      </c>
      <c r="B18" s="17">
        <f>START_HERE!$G$6</f>
        <v>208.72</v>
      </c>
      <c r="C18" s="17">
        <f>START_HERE!$G$7</f>
        <v>53</v>
      </c>
      <c r="D18" s="14">
        <f t="shared" si="0"/>
        <v>1980752.8</v>
      </c>
      <c r="E18" s="14">
        <f t="shared" si="1"/>
        <v>502970</v>
      </c>
      <c r="F18" s="14">
        <f>START_HERE!$G$9+START_HERE!$G$10</f>
        <v>2521000</v>
      </c>
      <c r="G18" s="14">
        <f t="shared" si="2"/>
        <v>-1043217.2</v>
      </c>
      <c r="H18" s="18">
        <f t="shared" si="3"/>
        <v>-0.52667713002854266</v>
      </c>
      <c r="I18" t="str">
        <f>IF(G18&lt;0,"Below break even",IF(H18&lt;START_HERE!$B$19,"Profitable but below target","At or above target"))</f>
        <v>Below break even</v>
      </c>
    </row>
    <row r="19" spans="1:9" x14ac:dyDescent="0.3">
      <c r="A19" s="13">
        <v>27</v>
      </c>
      <c r="B19" s="17">
        <f>START_HERE!$G$6</f>
        <v>208.72</v>
      </c>
      <c r="C19" s="17">
        <f>START_HERE!$G$7</f>
        <v>53</v>
      </c>
      <c r="D19" s="14">
        <f t="shared" si="0"/>
        <v>2056935.5999999999</v>
      </c>
      <c r="E19" s="14">
        <f t="shared" si="1"/>
        <v>522315</v>
      </c>
      <c r="F19" s="14">
        <f>START_HERE!$G$9+START_HERE!$G$10</f>
        <v>2521000</v>
      </c>
      <c r="G19" s="14">
        <f t="shared" si="2"/>
        <v>-986379.40000000014</v>
      </c>
      <c r="H19" s="18">
        <f t="shared" si="3"/>
        <v>-0.47953829959479538</v>
      </c>
      <c r="I19" t="str">
        <f>IF(G19&lt;0,"Below break even",IF(H19&lt;START_HERE!$B$19,"Profitable but below target","At or above target"))</f>
        <v>Below break even</v>
      </c>
    </row>
    <row r="20" spans="1:9" x14ac:dyDescent="0.3">
      <c r="A20" s="13">
        <v>28</v>
      </c>
      <c r="B20" s="17">
        <f>START_HERE!$G$6</f>
        <v>208.72</v>
      </c>
      <c r="C20" s="17">
        <f>START_HERE!$G$7</f>
        <v>53</v>
      </c>
      <c r="D20" s="14">
        <f t="shared" si="0"/>
        <v>2133118.4</v>
      </c>
      <c r="E20" s="14">
        <f t="shared" si="1"/>
        <v>541660</v>
      </c>
      <c r="F20" s="14">
        <f>START_HERE!$G$9+START_HERE!$G$10</f>
        <v>2521000</v>
      </c>
      <c r="G20" s="14">
        <f t="shared" si="2"/>
        <v>-929541.60000000009</v>
      </c>
      <c r="H20" s="18">
        <f t="shared" si="3"/>
        <v>-0.43576652847774422</v>
      </c>
      <c r="I20" t="str">
        <f>IF(G20&lt;0,"Below break even",IF(H20&lt;START_HERE!$B$19,"Profitable but below target","At or above target"))</f>
        <v>Below break even</v>
      </c>
    </row>
    <row r="21" spans="1:9" x14ac:dyDescent="0.3">
      <c r="A21" s="13">
        <v>29</v>
      </c>
      <c r="B21" s="17">
        <f>START_HERE!$G$6</f>
        <v>208.72</v>
      </c>
      <c r="C21" s="17">
        <f>START_HERE!$G$7</f>
        <v>53</v>
      </c>
      <c r="D21" s="14">
        <f t="shared" si="0"/>
        <v>2209301.2000000002</v>
      </c>
      <c r="E21" s="14">
        <f t="shared" si="1"/>
        <v>561005</v>
      </c>
      <c r="F21" s="14">
        <f>START_HERE!$G$9+START_HERE!$G$10</f>
        <v>2521000</v>
      </c>
      <c r="G21" s="14">
        <f t="shared" si="2"/>
        <v>-872703.79999999981</v>
      </c>
      <c r="H21" s="18">
        <f t="shared" si="3"/>
        <v>-0.39501350019635156</v>
      </c>
      <c r="I21" t="str">
        <f>IF(G21&lt;0,"Below break even",IF(H21&lt;START_HERE!$B$19,"Profitable but below target","At or above target"))</f>
        <v>Below break even</v>
      </c>
    </row>
    <row r="22" spans="1:9" x14ac:dyDescent="0.3">
      <c r="A22" s="13">
        <v>30</v>
      </c>
      <c r="B22" s="17">
        <f>START_HERE!$G$6</f>
        <v>208.72</v>
      </c>
      <c r="C22" s="17">
        <f>START_HERE!$G$7</f>
        <v>53</v>
      </c>
      <c r="D22" s="14">
        <f t="shared" si="0"/>
        <v>2285484</v>
      </c>
      <c r="E22" s="14">
        <f t="shared" si="1"/>
        <v>580350</v>
      </c>
      <c r="F22" s="14">
        <f>START_HERE!$G$9+START_HERE!$G$10</f>
        <v>2521000</v>
      </c>
      <c r="G22" s="14">
        <f t="shared" si="2"/>
        <v>-815866</v>
      </c>
      <c r="H22" s="18">
        <f t="shared" si="3"/>
        <v>-0.35697734046705204</v>
      </c>
      <c r="I22" t="str">
        <f>IF(G22&lt;0,"Below break even",IF(H22&lt;START_HERE!$B$19,"Profitable but below target","At or above target"))</f>
        <v>Below break even</v>
      </c>
    </row>
    <row r="23" spans="1:9" x14ac:dyDescent="0.3">
      <c r="A23" s="13">
        <v>31</v>
      </c>
      <c r="B23" s="17">
        <f>START_HERE!$G$6</f>
        <v>208.72</v>
      </c>
      <c r="C23" s="17">
        <f>START_HERE!$G$7</f>
        <v>53</v>
      </c>
      <c r="D23" s="14">
        <f t="shared" si="0"/>
        <v>2361666.7999999998</v>
      </c>
      <c r="E23" s="14">
        <f t="shared" si="1"/>
        <v>599695</v>
      </c>
      <c r="F23" s="14">
        <f>START_HERE!$G$9+START_HERE!$G$10</f>
        <v>2521000</v>
      </c>
      <c r="G23" s="14">
        <f t="shared" si="2"/>
        <v>-759028.20000000019</v>
      </c>
      <c r="H23" s="18">
        <f t="shared" si="3"/>
        <v>-0.32139512652673963</v>
      </c>
      <c r="I23" t="str">
        <f>IF(G23&lt;0,"Below break even",IF(H23&lt;START_HERE!$B$19,"Profitable but below target","At or above target"))</f>
        <v>Below break even</v>
      </c>
    </row>
    <row r="24" spans="1:9" x14ac:dyDescent="0.3">
      <c r="A24" s="13">
        <v>32</v>
      </c>
      <c r="B24" s="17">
        <f>START_HERE!$G$6</f>
        <v>208.72</v>
      </c>
      <c r="C24" s="17">
        <f>START_HERE!$G$7</f>
        <v>53</v>
      </c>
      <c r="D24" s="14">
        <f t="shared" si="0"/>
        <v>2437849.6</v>
      </c>
      <c r="E24" s="14">
        <f t="shared" si="1"/>
        <v>619040</v>
      </c>
      <c r="F24" s="14">
        <f>START_HERE!$G$9+START_HERE!$G$10</f>
        <v>2521000</v>
      </c>
      <c r="G24" s="14">
        <f t="shared" si="2"/>
        <v>-702190.39999999991</v>
      </c>
      <c r="H24" s="18">
        <f t="shared" si="3"/>
        <v>-0.28803680095769646</v>
      </c>
      <c r="I24" t="str">
        <f>IF(G24&lt;0,"Below break even",IF(H24&lt;START_HERE!$B$19,"Profitable but below target","At or above target"))</f>
        <v>Below break even</v>
      </c>
    </row>
    <row r="25" spans="1:9" x14ac:dyDescent="0.3">
      <c r="A25" s="13">
        <v>33</v>
      </c>
      <c r="B25" s="17">
        <f>START_HERE!$G$6</f>
        <v>208.72</v>
      </c>
      <c r="C25" s="17">
        <f>START_HERE!$G$7</f>
        <v>53</v>
      </c>
      <c r="D25" s="14">
        <f t="shared" si="0"/>
        <v>2514032.4</v>
      </c>
      <c r="E25" s="14">
        <f t="shared" si="1"/>
        <v>638385</v>
      </c>
      <c r="F25" s="14">
        <f>START_HERE!$G$9+START_HERE!$G$10</f>
        <v>2521000</v>
      </c>
      <c r="G25" s="14">
        <f t="shared" si="2"/>
        <v>-645352.60000000009</v>
      </c>
      <c r="H25" s="18">
        <f t="shared" si="3"/>
        <v>-0.25670019208980766</v>
      </c>
      <c r="I25" t="str">
        <f>IF(G25&lt;0,"Below break even",IF(H25&lt;START_HERE!$B$19,"Profitable but below target","At or above target"))</f>
        <v>Below break even</v>
      </c>
    </row>
    <row r="26" spans="1:9" x14ac:dyDescent="0.3">
      <c r="A26" s="13">
        <v>34</v>
      </c>
      <c r="B26" s="17">
        <f>START_HERE!$G$6</f>
        <v>208.72</v>
      </c>
      <c r="C26" s="17">
        <f>START_HERE!$G$7</f>
        <v>53</v>
      </c>
      <c r="D26" s="14">
        <f t="shared" si="0"/>
        <v>2590215.1999999997</v>
      </c>
      <c r="E26" s="14">
        <f t="shared" si="1"/>
        <v>657730</v>
      </c>
      <c r="F26" s="14">
        <f>START_HERE!$G$9+START_HERE!$G$10</f>
        <v>2521000</v>
      </c>
      <c r="G26" s="14">
        <f t="shared" si="2"/>
        <v>-588514.80000000028</v>
      </c>
      <c r="H26" s="18">
        <f t="shared" si="3"/>
        <v>-0.22720691315532407</v>
      </c>
      <c r="I26" t="str">
        <f>IF(G26&lt;0,"Below break even",IF(H26&lt;START_HERE!$B$19,"Profitable but below target","At or above target"))</f>
        <v>Below break even</v>
      </c>
    </row>
    <row r="27" spans="1:9" x14ac:dyDescent="0.3">
      <c r="A27" s="13">
        <v>35</v>
      </c>
      <c r="B27" s="17">
        <f>START_HERE!$G$6</f>
        <v>208.72</v>
      </c>
      <c r="C27" s="17">
        <f>START_HERE!$G$7</f>
        <v>53</v>
      </c>
      <c r="D27" s="14">
        <f t="shared" si="0"/>
        <v>2666398</v>
      </c>
      <c r="E27" s="14">
        <f t="shared" si="1"/>
        <v>677075</v>
      </c>
      <c r="F27" s="14">
        <f>START_HERE!$G$9+START_HERE!$G$10</f>
        <v>2521000</v>
      </c>
      <c r="G27" s="14">
        <f t="shared" si="2"/>
        <v>-531677</v>
      </c>
      <c r="H27" s="18">
        <f t="shared" si="3"/>
        <v>-0.1993989644456679</v>
      </c>
      <c r="I27" t="str">
        <f>IF(G27&lt;0,"Below break even",IF(H27&lt;START_HERE!$B$19,"Profitable but below target","At or above target"))</f>
        <v>Below break even</v>
      </c>
    </row>
    <row r="28" spans="1:9" x14ac:dyDescent="0.3">
      <c r="A28" s="13">
        <v>36</v>
      </c>
      <c r="B28" s="17">
        <f>START_HERE!$G$6</f>
        <v>208.72</v>
      </c>
      <c r="C28" s="17">
        <f>START_HERE!$G$7</f>
        <v>53</v>
      </c>
      <c r="D28" s="14">
        <f t="shared" si="0"/>
        <v>2742580.8</v>
      </c>
      <c r="E28" s="14">
        <f t="shared" si="1"/>
        <v>696420</v>
      </c>
      <c r="F28" s="14">
        <f>START_HERE!$G$9+START_HERE!$G$10</f>
        <v>2521000</v>
      </c>
      <c r="G28" s="14">
        <f t="shared" si="2"/>
        <v>-474839.20000000019</v>
      </c>
      <c r="H28" s="18">
        <f t="shared" si="3"/>
        <v>-0.17313590177543728</v>
      </c>
      <c r="I28" t="str">
        <f>IF(G28&lt;0,"Below break even",IF(H28&lt;START_HERE!$B$19,"Profitable but below target","At or above target"))</f>
        <v>Below break even</v>
      </c>
    </row>
    <row r="29" spans="1:9" x14ac:dyDescent="0.3">
      <c r="A29" s="13">
        <v>37</v>
      </c>
      <c r="B29" s="17">
        <f>START_HERE!$G$6</f>
        <v>208.72</v>
      </c>
      <c r="C29" s="17">
        <f>START_HERE!$G$7</f>
        <v>53</v>
      </c>
      <c r="D29" s="14">
        <f t="shared" si="0"/>
        <v>2818763.6</v>
      </c>
      <c r="E29" s="14">
        <f t="shared" si="1"/>
        <v>715765</v>
      </c>
      <c r="F29" s="14">
        <f>START_HERE!$G$9+START_HERE!$G$10</f>
        <v>2521000</v>
      </c>
      <c r="G29" s="14">
        <f t="shared" si="2"/>
        <v>-418001.39999999991</v>
      </c>
      <c r="H29" s="18">
        <f t="shared" si="3"/>
        <v>-0.14829246411440813</v>
      </c>
      <c r="I29" t="str">
        <f>IF(G29&lt;0,"Below break even",IF(H29&lt;START_HERE!$B$19,"Profitable but below target","At or above target"))</f>
        <v>Below break even</v>
      </c>
    </row>
    <row r="30" spans="1:9" x14ac:dyDescent="0.3">
      <c r="A30" s="13">
        <v>38</v>
      </c>
      <c r="B30" s="17">
        <f>START_HERE!$G$6</f>
        <v>208.72</v>
      </c>
      <c r="C30" s="17">
        <f>START_HERE!$G$7</f>
        <v>53</v>
      </c>
      <c r="D30" s="14">
        <f t="shared" si="0"/>
        <v>2894946.4</v>
      </c>
      <c r="E30" s="14">
        <f t="shared" si="1"/>
        <v>735110</v>
      </c>
      <c r="F30" s="14">
        <f>START_HERE!$G$9+START_HERE!$G$10</f>
        <v>2521000</v>
      </c>
      <c r="G30" s="14">
        <f t="shared" si="2"/>
        <v>-361163.60000000009</v>
      </c>
      <c r="H30" s="18">
        <f t="shared" si="3"/>
        <v>-0.12475657580395966</v>
      </c>
      <c r="I30" t="str">
        <f>IF(G30&lt;0,"Below break even",IF(H30&lt;START_HERE!$B$19,"Profitable but below target","At or above target"))</f>
        <v>Below break even</v>
      </c>
    </row>
    <row r="31" spans="1:9" x14ac:dyDescent="0.3">
      <c r="A31" s="13">
        <v>39</v>
      </c>
      <c r="B31" s="17">
        <f>START_HERE!$G$6</f>
        <v>208.72</v>
      </c>
      <c r="C31" s="17">
        <f>START_HERE!$G$7</f>
        <v>53</v>
      </c>
      <c r="D31" s="14">
        <f t="shared" si="0"/>
        <v>2971129.2</v>
      </c>
      <c r="E31" s="14">
        <f t="shared" si="1"/>
        <v>754455</v>
      </c>
      <c r="F31" s="14">
        <f>START_HERE!$G$9+START_HERE!$G$10</f>
        <v>2521000</v>
      </c>
      <c r="G31" s="14">
        <f t="shared" si="2"/>
        <v>-304325.79999999981</v>
      </c>
      <c r="H31" s="18">
        <f t="shared" si="3"/>
        <v>-0.10242765612481604</v>
      </c>
      <c r="I31" t="str">
        <f>IF(G31&lt;0,"Below break even",IF(H31&lt;START_HERE!$B$19,"Profitable but below target","At or above target"))</f>
        <v>Below break even</v>
      </c>
    </row>
    <row r="32" spans="1:9" x14ac:dyDescent="0.3">
      <c r="A32" s="13">
        <v>40</v>
      </c>
      <c r="B32" s="17">
        <f>START_HERE!$G$6</f>
        <v>208.72</v>
      </c>
      <c r="C32" s="17">
        <f>START_HERE!$G$7</f>
        <v>53</v>
      </c>
      <c r="D32" s="14">
        <f t="shared" si="0"/>
        <v>3047311.9999999995</v>
      </c>
      <c r="E32" s="14">
        <f t="shared" si="1"/>
        <v>773800</v>
      </c>
      <c r="F32" s="14">
        <f>START_HERE!$G$9+START_HERE!$G$10</f>
        <v>2521000</v>
      </c>
      <c r="G32" s="14">
        <f t="shared" si="2"/>
        <v>-247488.00000000047</v>
      </c>
      <c r="H32" s="18">
        <f t="shared" si="3"/>
        <v>-8.1215182429629953E-2</v>
      </c>
      <c r="I32" t="str">
        <f>IF(G32&lt;0,"Below break even",IF(H32&lt;START_HERE!$B$19,"Profitable but below target","At or above target"))</f>
        <v>Below break even</v>
      </c>
    </row>
    <row r="33" spans="1:9" x14ac:dyDescent="0.3">
      <c r="A33" s="13">
        <v>41</v>
      </c>
      <c r="B33" s="17">
        <f>START_HERE!$G$6</f>
        <v>208.72</v>
      </c>
      <c r="C33" s="17">
        <f>START_HERE!$G$7</f>
        <v>53</v>
      </c>
      <c r="D33" s="14">
        <f t="shared" si="0"/>
        <v>3123494.8000000003</v>
      </c>
      <c r="E33" s="14">
        <f t="shared" si="1"/>
        <v>793145</v>
      </c>
      <c r="F33" s="14">
        <f>START_HERE!$G$9+START_HERE!$G$10</f>
        <v>2521000</v>
      </c>
      <c r="G33" s="14">
        <f t="shared" si="2"/>
        <v>-190650.19999999972</v>
      </c>
      <c r="H33" s="18">
        <f t="shared" si="3"/>
        <v>-6.1037463548842694E-2</v>
      </c>
      <c r="I33" t="str">
        <f>IF(G33&lt;0,"Below break even",IF(H33&lt;START_HERE!$B$19,"Profitable but below target","At or above target"))</f>
        <v>Below break even</v>
      </c>
    </row>
    <row r="34" spans="1:9" x14ac:dyDescent="0.3">
      <c r="A34" s="13">
        <v>42</v>
      </c>
      <c r="B34" s="17">
        <f>START_HERE!$G$6</f>
        <v>208.72</v>
      </c>
      <c r="C34" s="17">
        <f>START_HERE!$G$7</f>
        <v>53</v>
      </c>
      <c r="D34" s="14">
        <f t="shared" ref="D34:D65" si="4">A34*B34*365</f>
        <v>3199677.6</v>
      </c>
      <c r="E34" s="14">
        <f t="shared" ref="E34:E65" si="5">A34*C34*365</f>
        <v>812490</v>
      </c>
      <c r="F34" s="14">
        <f>START_HERE!$G$9+START_HERE!$G$10</f>
        <v>2521000</v>
      </c>
      <c r="G34" s="14">
        <f t="shared" ref="G34:G65" si="6">D34-E34-F34</f>
        <v>-133812.39999999991</v>
      </c>
      <c r="H34" s="18">
        <f t="shared" ref="H34:H65" si="7">IF(D34=0,0,G34/D34)</f>
        <v>-4.1820588424283718E-2</v>
      </c>
      <c r="I34" t="str">
        <f>IF(G34&lt;0,"Below break even",IF(H34&lt;START_HERE!$B$19,"Profitable but below target","At or above target"))</f>
        <v>Below break even</v>
      </c>
    </row>
    <row r="35" spans="1:9" x14ac:dyDescent="0.3">
      <c r="A35" s="13">
        <v>43</v>
      </c>
      <c r="B35" s="17">
        <f>START_HERE!$G$6</f>
        <v>208.72</v>
      </c>
      <c r="C35" s="17">
        <f>START_HERE!$G$7</f>
        <v>53</v>
      </c>
      <c r="D35" s="14">
        <f t="shared" si="4"/>
        <v>3275860.4</v>
      </c>
      <c r="E35" s="14">
        <f t="shared" si="5"/>
        <v>831835</v>
      </c>
      <c r="F35" s="14">
        <f>START_HERE!$G$9+START_HERE!$G$10</f>
        <v>2521000</v>
      </c>
      <c r="G35" s="14">
        <f t="shared" si="6"/>
        <v>-76974.600000000093</v>
      </c>
      <c r="H35" s="18">
        <f t="shared" si="7"/>
        <v>-2.3497521445053061E-2</v>
      </c>
      <c r="I35" t="str">
        <f>IF(G35&lt;0,"Below break even",IF(H35&lt;START_HERE!$B$19,"Profitable but below target","At or above target"))</f>
        <v>Below break even</v>
      </c>
    </row>
    <row r="36" spans="1:9" x14ac:dyDescent="0.3">
      <c r="A36" s="13">
        <v>44</v>
      </c>
      <c r="B36" s="17">
        <f>START_HERE!$G$6</f>
        <v>208.72</v>
      </c>
      <c r="C36" s="17">
        <f>START_HERE!$G$7</f>
        <v>53</v>
      </c>
      <c r="D36" s="14">
        <f t="shared" si="4"/>
        <v>3352043.2</v>
      </c>
      <c r="E36" s="14">
        <f t="shared" si="5"/>
        <v>851180</v>
      </c>
      <c r="F36" s="14">
        <f>START_HERE!$G$9+START_HERE!$G$10</f>
        <v>2521000</v>
      </c>
      <c r="G36" s="14">
        <f t="shared" si="6"/>
        <v>-20136.799999999814</v>
      </c>
      <c r="H36" s="18">
        <f t="shared" si="7"/>
        <v>-6.0073211466963828E-3</v>
      </c>
      <c r="I36" t="str">
        <f>IF(G36&lt;0,"Below break even",IF(H36&lt;START_HERE!$B$19,"Profitable but below target","At or above target"))</f>
        <v>Below break even</v>
      </c>
    </row>
    <row r="37" spans="1:9" x14ac:dyDescent="0.3">
      <c r="A37" s="13">
        <v>45</v>
      </c>
      <c r="B37" s="17">
        <f>START_HERE!$G$6</f>
        <v>208.72</v>
      </c>
      <c r="C37" s="17">
        <f>START_HERE!$G$7</f>
        <v>53</v>
      </c>
      <c r="D37" s="14">
        <f t="shared" si="4"/>
        <v>3428226</v>
      </c>
      <c r="E37" s="14">
        <f t="shared" si="5"/>
        <v>870525</v>
      </c>
      <c r="F37" s="14">
        <f>START_HERE!$G$9+START_HERE!$G$10</f>
        <v>2521000</v>
      </c>
      <c r="G37" s="14">
        <f t="shared" si="6"/>
        <v>36701</v>
      </c>
      <c r="H37" s="18">
        <f t="shared" si="7"/>
        <v>1.0705536916177639E-2</v>
      </c>
      <c r="I37" t="str">
        <f>IF(G37&lt;0,"Below break even",IF(H37&lt;START_HERE!$B$19,"Profitable but below target","At or above target"))</f>
        <v>Profitable but below target</v>
      </c>
    </row>
    <row r="38" spans="1:9" x14ac:dyDescent="0.3">
      <c r="A38" s="13">
        <v>46</v>
      </c>
      <c r="B38" s="17">
        <f>START_HERE!$G$6</f>
        <v>208.72</v>
      </c>
      <c r="C38" s="17">
        <f>START_HERE!$G$7</f>
        <v>53</v>
      </c>
      <c r="D38" s="14">
        <f t="shared" si="4"/>
        <v>3504408.8000000003</v>
      </c>
      <c r="E38" s="14">
        <f t="shared" si="5"/>
        <v>889870</v>
      </c>
      <c r="F38" s="14">
        <f>START_HERE!$G$9+START_HERE!$G$10</f>
        <v>2521000</v>
      </c>
      <c r="G38" s="14">
        <f t="shared" si="6"/>
        <v>93538.800000000279</v>
      </c>
      <c r="H38" s="18">
        <f t="shared" si="7"/>
        <v>2.6691748976318139E-2</v>
      </c>
      <c r="I38" t="str">
        <f>IF(G38&lt;0,"Below break even",IF(H38&lt;START_HERE!$B$19,"Profitable but below target","At or above target"))</f>
        <v>Profitable but below target</v>
      </c>
    </row>
    <row r="39" spans="1:9" x14ac:dyDescent="0.3">
      <c r="A39" s="13">
        <v>47</v>
      </c>
      <c r="B39" s="17">
        <f>START_HERE!$G$6</f>
        <v>208.72</v>
      </c>
      <c r="C39" s="17">
        <f>START_HERE!$G$7</f>
        <v>53</v>
      </c>
      <c r="D39" s="14">
        <f t="shared" si="4"/>
        <v>3580591.6</v>
      </c>
      <c r="E39" s="14">
        <f t="shared" si="5"/>
        <v>909215</v>
      </c>
      <c r="F39" s="14">
        <f>START_HERE!$G$9+START_HERE!$G$10</f>
        <v>2521000</v>
      </c>
      <c r="G39" s="14">
        <f t="shared" si="6"/>
        <v>150376.60000000009</v>
      </c>
      <c r="H39" s="18">
        <f t="shared" si="7"/>
        <v>4.1997696693473807E-2</v>
      </c>
      <c r="I39" t="str">
        <f>IF(G39&lt;0,"Below break even",IF(H39&lt;START_HERE!$B$19,"Profitable but below target","At or above target"))</f>
        <v>Profitable but below target</v>
      </c>
    </row>
    <row r="40" spans="1:9" x14ac:dyDescent="0.3">
      <c r="A40" s="13">
        <v>48</v>
      </c>
      <c r="B40" s="17">
        <f>START_HERE!$G$6</f>
        <v>208.72</v>
      </c>
      <c r="C40" s="17">
        <f>START_HERE!$G$7</f>
        <v>53</v>
      </c>
      <c r="D40" s="14">
        <f t="shared" si="4"/>
        <v>3656774.4</v>
      </c>
      <c r="E40" s="14">
        <f t="shared" si="5"/>
        <v>928560</v>
      </c>
      <c r="F40" s="14">
        <f>START_HERE!$G$9+START_HERE!$G$10</f>
        <v>2521000</v>
      </c>
      <c r="G40" s="14">
        <f t="shared" si="6"/>
        <v>207214.39999999991</v>
      </c>
      <c r="H40" s="18">
        <f t="shared" si="7"/>
        <v>5.6665896589081326E-2</v>
      </c>
      <c r="I40" t="str">
        <f>IF(G40&lt;0,"Below break even",IF(H40&lt;START_HERE!$B$19,"Profitable but below target","At or above target"))</f>
        <v>Profitable but below target</v>
      </c>
    </row>
    <row r="41" spans="1:9" x14ac:dyDescent="0.3">
      <c r="A41" s="13">
        <v>49</v>
      </c>
      <c r="B41" s="17">
        <f>START_HERE!$G$6</f>
        <v>208.72</v>
      </c>
      <c r="C41" s="17">
        <f>START_HERE!$G$7</f>
        <v>53</v>
      </c>
      <c r="D41" s="14">
        <f t="shared" si="4"/>
        <v>3732957.2</v>
      </c>
      <c r="E41" s="14">
        <f t="shared" si="5"/>
        <v>947905</v>
      </c>
      <c r="F41" s="14">
        <f>START_HERE!$G$9+START_HERE!$G$10</f>
        <v>2521000</v>
      </c>
      <c r="G41" s="14">
        <f t="shared" si="6"/>
        <v>264052.20000000019</v>
      </c>
      <c r="H41" s="18">
        <f t="shared" si="7"/>
        <v>7.0735394448133551E-2</v>
      </c>
      <c r="I41" t="str">
        <f>IF(G41&lt;0,"Below break even",IF(H41&lt;START_HERE!$B$19,"Profitable but below target","At or above target"))</f>
        <v>Profitable but below target</v>
      </c>
    </row>
    <row r="42" spans="1:9" x14ac:dyDescent="0.3">
      <c r="A42" s="13">
        <v>50</v>
      </c>
      <c r="B42" s="17">
        <f>START_HERE!$G$6</f>
        <v>208.72</v>
      </c>
      <c r="C42" s="17">
        <f>START_HERE!$G$7</f>
        <v>53</v>
      </c>
      <c r="D42" s="14">
        <f t="shared" si="4"/>
        <v>3809140</v>
      </c>
      <c r="E42" s="14">
        <f t="shared" si="5"/>
        <v>967250</v>
      </c>
      <c r="F42" s="14">
        <f>START_HERE!$G$9+START_HERE!$G$10</f>
        <v>2521000</v>
      </c>
      <c r="G42" s="14">
        <f t="shared" si="6"/>
        <v>320890</v>
      </c>
      <c r="H42" s="18">
        <f t="shared" si="7"/>
        <v>8.4242112392823573E-2</v>
      </c>
      <c r="I42" t="str">
        <f>IF(G42&lt;0,"Below break even",IF(H42&lt;START_HERE!$B$19,"Profitable but below target","At or above target"))</f>
        <v>Profitable but below target</v>
      </c>
    </row>
    <row r="43" spans="1:9" x14ac:dyDescent="0.3">
      <c r="A43" s="13">
        <v>51</v>
      </c>
      <c r="B43" s="17">
        <f>START_HERE!$G$6</f>
        <v>208.72</v>
      </c>
      <c r="C43" s="17">
        <f>START_HERE!$G$7</f>
        <v>53</v>
      </c>
      <c r="D43" s="14">
        <f t="shared" si="4"/>
        <v>3885322.8</v>
      </c>
      <c r="E43" s="14">
        <f t="shared" si="5"/>
        <v>986595</v>
      </c>
      <c r="F43" s="14">
        <f>START_HERE!$G$9+START_HERE!$G$10</f>
        <v>2521000</v>
      </c>
      <c r="G43" s="14">
        <f t="shared" si="6"/>
        <v>377727.79999999981</v>
      </c>
      <c r="H43" s="18">
        <f t="shared" si="7"/>
        <v>9.7219155123996343E-2</v>
      </c>
      <c r="I43" t="str">
        <f>IF(G43&lt;0,"Below break even",IF(H43&lt;START_HERE!$B$19,"Profitable but below target","At or above target"))</f>
        <v>Profitable but below target</v>
      </c>
    </row>
    <row r="44" spans="1:9" x14ac:dyDescent="0.3">
      <c r="A44" s="13">
        <v>52</v>
      </c>
      <c r="B44" s="17">
        <f>START_HERE!$G$6</f>
        <v>208.72</v>
      </c>
      <c r="C44" s="17">
        <f>START_HERE!$G$7</f>
        <v>53</v>
      </c>
      <c r="D44" s="14">
        <f t="shared" si="4"/>
        <v>3961505.6</v>
      </c>
      <c r="E44" s="14">
        <f t="shared" si="5"/>
        <v>1005940</v>
      </c>
      <c r="F44" s="14">
        <f>START_HERE!$G$9+START_HERE!$G$10</f>
        <v>2521000</v>
      </c>
      <c r="G44" s="14">
        <f t="shared" si="6"/>
        <v>434565.60000000009</v>
      </c>
      <c r="H44" s="18">
        <f t="shared" si="7"/>
        <v>0.1096970808270472</v>
      </c>
      <c r="I44" t="str">
        <f>IF(G44&lt;0,"Below break even",IF(H44&lt;START_HERE!$B$19,"Profitable but below target","At or above target"))</f>
        <v>Profitable but below target</v>
      </c>
    </row>
    <row r="45" spans="1:9" x14ac:dyDescent="0.3">
      <c r="A45" s="13">
        <v>53</v>
      </c>
      <c r="B45" s="17">
        <f>START_HERE!$G$6</f>
        <v>208.72</v>
      </c>
      <c r="C45" s="17">
        <f>START_HERE!$G$7</f>
        <v>53</v>
      </c>
      <c r="D45" s="14">
        <f t="shared" si="4"/>
        <v>4037688.4</v>
      </c>
      <c r="E45" s="14">
        <f t="shared" si="5"/>
        <v>1025285</v>
      </c>
      <c r="F45" s="14">
        <f>START_HERE!$G$9+START_HERE!$G$10</f>
        <v>2521000</v>
      </c>
      <c r="G45" s="14">
        <f t="shared" si="6"/>
        <v>491403.39999999991</v>
      </c>
      <c r="H45" s="18">
        <f t="shared" si="7"/>
        <v>0.1217041414092281</v>
      </c>
      <c r="I45" t="str">
        <f>IF(G45&lt;0,"Below break even",IF(H45&lt;START_HERE!$B$19,"Profitable but below target","At or above target"))</f>
        <v>Profitable but below target</v>
      </c>
    </row>
    <row r="46" spans="1:9" x14ac:dyDescent="0.3">
      <c r="A46" s="13">
        <v>54</v>
      </c>
      <c r="B46" s="17">
        <f>START_HERE!$G$6</f>
        <v>208.72</v>
      </c>
      <c r="C46" s="17">
        <f>START_HERE!$G$7</f>
        <v>53</v>
      </c>
      <c r="D46" s="14">
        <f t="shared" si="4"/>
        <v>4113871.1999999997</v>
      </c>
      <c r="E46" s="14">
        <f t="shared" si="5"/>
        <v>1044630</v>
      </c>
      <c r="F46" s="14">
        <f>START_HERE!$G$9+START_HERE!$G$10</f>
        <v>2521000</v>
      </c>
      <c r="G46" s="14">
        <f t="shared" si="6"/>
        <v>548241.19999999972</v>
      </c>
      <c r="H46" s="18">
        <f t="shared" si="7"/>
        <v>0.13326649604392082</v>
      </c>
      <c r="I46" t="str">
        <f>IF(G46&lt;0,"Below break even",IF(H46&lt;START_HERE!$B$19,"Profitable but below target","At or above target"))</f>
        <v>At or above target</v>
      </c>
    </row>
    <row r="47" spans="1:9" x14ac:dyDescent="0.3">
      <c r="A47" s="13">
        <v>55</v>
      </c>
      <c r="B47" s="17">
        <f>START_HERE!$G$6</f>
        <v>208.72</v>
      </c>
      <c r="C47" s="17">
        <f>START_HERE!$G$7</f>
        <v>53</v>
      </c>
      <c r="D47" s="14">
        <f t="shared" si="4"/>
        <v>4190054</v>
      </c>
      <c r="E47" s="14">
        <f t="shared" si="5"/>
        <v>1063975</v>
      </c>
      <c r="F47" s="14">
        <f>START_HERE!$G$9+START_HERE!$G$10</f>
        <v>2521000</v>
      </c>
      <c r="G47" s="14">
        <f t="shared" si="6"/>
        <v>605079</v>
      </c>
      <c r="H47" s="18">
        <f t="shared" si="7"/>
        <v>0.14440840141917025</v>
      </c>
      <c r="I47" t="str">
        <f>IF(G47&lt;0,"Below break even",IF(H47&lt;START_HERE!$B$19,"Profitable but below target","At or above target"))</f>
        <v>At or above target</v>
      </c>
    </row>
    <row r="48" spans="1:9" x14ac:dyDescent="0.3">
      <c r="A48" s="13">
        <v>56</v>
      </c>
      <c r="B48" s="17">
        <f>START_HERE!$G$6</f>
        <v>208.72</v>
      </c>
      <c r="C48" s="17">
        <f>START_HERE!$G$7</f>
        <v>53</v>
      </c>
      <c r="D48" s="14">
        <f t="shared" si="4"/>
        <v>4266236.8</v>
      </c>
      <c r="E48" s="14">
        <f t="shared" si="5"/>
        <v>1083320</v>
      </c>
      <c r="F48" s="14">
        <f>START_HERE!$G$9+START_HERE!$G$10</f>
        <v>2521000</v>
      </c>
      <c r="G48" s="14">
        <f t="shared" si="6"/>
        <v>661916.79999999981</v>
      </c>
      <c r="H48" s="18">
        <f t="shared" si="7"/>
        <v>0.1551523816024464</v>
      </c>
      <c r="I48" t="str">
        <f>IF(G48&lt;0,"Below break even",IF(H48&lt;START_HERE!$B$19,"Profitable but below target","At or above target"))</f>
        <v>At or above target</v>
      </c>
    </row>
    <row r="49" spans="1:9" x14ac:dyDescent="0.3">
      <c r="A49" s="13">
        <v>57</v>
      </c>
      <c r="B49" s="17">
        <f>START_HERE!$G$6</f>
        <v>208.72</v>
      </c>
      <c r="C49" s="17">
        <f>START_HERE!$G$7</f>
        <v>53</v>
      </c>
      <c r="D49" s="14">
        <f t="shared" si="4"/>
        <v>4342419.5999999996</v>
      </c>
      <c r="E49" s="14">
        <f t="shared" si="5"/>
        <v>1102665</v>
      </c>
      <c r="F49" s="14">
        <f>START_HERE!$G$9+START_HERE!$G$10</f>
        <v>2521000</v>
      </c>
      <c r="G49" s="14">
        <f t="shared" si="6"/>
        <v>718754.59999999963</v>
      </c>
      <c r="H49" s="18">
        <f t="shared" si="7"/>
        <v>0.16551938002490585</v>
      </c>
      <c r="I49" t="str">
        <f>IF(G49&lt;0,"Below break even",IF(H49&lt;START_HERE!$B$19,"Profitable but below target","At or above target"))</f>
        <v>At or above target</v>
      </c>
    </row>
    <row r="50" spans="1:9" x14ac:dyDescent="0.3">
      <c r="A50" s="13">
        <v>58</v>
      </c>
      <c r="B50" s="17">
        <f>START_HERE!$G$6</f>
        <v>208.72</v>
      </c>
      <c r="C50" s="17">
        <f>START_HERE!$G$7</f>
        <v>53</v>
      </c>
      <c r="D50" s="14">
        <f t="shared" si="4"/>
        <v>4418602.4000000004</v>
      </c>
      <c r="E50" s="14">
        <f t="shared" si="5"/>
        <v>1122010</v>
      </c>
      <c r="F50" s="14">
        <f>START_HERE!$G$9+START_HERE!$G$10</f>
        <v>2521000</v>
      </c>
      <c r="G50" s="14">
        <f t="shared" si="6"/>
        <v>775592.40000000037</v>
      </c>
      <c r="H50" s="18">
        <f t="shared" si="7"/>
        <v>0.17552889574314273</v>
      </c>
      <c r="I50" t="str">
        <f>IF(G50&lt;0,"Below break even",IF(H50&lt;START_HERE!$B$19,"Profitable but below target","At or above target"))</f>
        <v>At or above target</v>
      </c>
    </row>
    <row r="51" spans="1:9" x14ac:dyDescent="0.3">
      <c r="A51" s="13">
        <v>59</v>
      </c>
      <c r="B51" s="17">
        <f>START_HERE!$G$6</f>
        <v>208.72</v>
      </c>
      <c r="C51" s="17">
        <f>START_HERE!$G$7</f>
        <v>53</v>
      </c>
      <c r="D51" s="14">
        <f t="shared" si="4"/>
        <v>4494785.2</v>
      </c>
      <c r="E51" s="14">
        <f t="shared" si="5"/>
        <v>1141355</v>
      </c>
      <c r="F51" s="14">
        <f>START_HERE!$G$9+START_HERE!$G$10</f>
        <v>2521000</v>
      </c>
      <c r="G51" s="14">
        <f t="shared" si="6"/>
        <v>832430.20000000019</v>
      </c>
      <c r="H51" s="18">
        <f t="shared" si="7"/>
        <v>0.18519910584381211</v>
      </c>
      <c r="I51" t="str">
        <f>IF(G51&lt;0,"Below break even",IF(H51&lt;START_HERE!$B$19,"Profitable but below target","At or above target"))</f>
        <v>At or above target</v>
      </c>
    </row>
    <row r="52" spans="1:9" x14ac:dyDescent="0.3">
      <c r="A52" s="13">
        <v>60</v>
      </c>
      <c r="B52" s="17">
        <f>START_HERE!$G$6</f>
        <v>208.72</v>
      </c>
      <c r="C52" s="17">
        <f>START_HERE!$G$7</f>
        <v>53</v>
      </c>
      <c r="D52" s="14">
        <f t="shared" si="4"/>
        <v>4570968</v>
      </c>
      <c r="E52" s="14">
        <f t="shared" si="5"/>
        <v>1160700</v>
      </c>
      <c r="F52" s="14">
        <f>START_HERE!$G$9+START_HERE!$G$10</f>
        <v>2521000</v>
      </c>
      <c r="G52" s="14">
        <f t="shared" si="6"/>
        <v>889268</v>
      </c>
      <c r="H52" s="18">
        <f t="shared" si="7"/>
        <v>0.19454697560779249</v>
      </c>
      <c r="I52" t="str">
        <f>IF(G52&lt;0,"Below break even",IF(H52&lt;START_HERE!$B$19,"Profitable but below target","At or above target"))</f>
        <v>At or above target</v>
      </c>
    </row>
    <row r="53" spans="1:9" x14ac:dyDescent="0.3">
      <c r="A53" s="13">
        <v>61</v>
      </c>
      <c r="B53" s="17">
        <f>START_HERE!$G$6</f>
        <v>208.72</v>
      </c>
      <c r="C53" s="17">
        <f>START_HERE!$G$7</f>
        <v>53</v>
      </c>
      <c r="D53" s="14">
        <f t="shared" si="4"/>
        <v>4647150.8</v>
      </c>
      <c r="E53" s="14">
        <f t="shared" si="5"/>
        <v>1180045</v>
      </c>
      <c r="F53" s="14">
        <f>START_HERE!$G$9+START_HERE!$G$10</f>
        <v>2521000</v>
      </c>
      <c r="G53" s="14">
        <f t="shared" si="6"/>
        <v>946105.79999999981</v>
      </c>
      <c r="H53" s="18">
        <f t="shared" si="7"/>
        <v>0.20358835783852761</v>
      </c>
      <c r="I53" t="str">
        <f>IF(G53&lt;0,"Below break even",IF(H53&lt;START_HERE!$B$19,"Profitable but below target","At or above target"))</f>
        <v>At or above target</v>
      </c>
    </row>
    <row r="54" spans="1:9" x14ac:dyDescent="0.3">
      <c r="A54" s="13">
        <v>62</v>
      </c>
      <c r="B54" s="17">
        <f>START_HERE!$G$6</f>
        <v>208.72</v>
      </c>
      <c r="C54" s="17">
        <f>START_HERE!$G$7</f>
        <v>53</v>
      </c>
      <c r="D54" s="14">
        <f t="shared" si="4"/>
        <v>4723333.5999999996</v>
      </c>
      <c r="E54" s="14">
        <f t="shared" si="5"/>
        <v>1199390</v>
      </c>
      <c r="F54" s="14">
        <f>START_HERE!$G$9+START_HERE!$G$10</f>
        <v>2521000</v>
      </c>
      <c r="G54" s="14">
        <f t="shared" si="6"/>
        <v>1002943.5999999996</v>
      </c>
      <c r="H54" s="18">
        <f t="shared" si="7"/>
        <v>0.2123380825779487</v>
      </c>
      <c r="I54" t="str">
        <f>IF(G54&lt;0,"Below break even",IF(H54&lt;START_HERE!$B$19,"Profitable but below target","At or above target"))</f>
        <v>At or above target</v>
      </c>
    </row>
    <row r="55" spans="1:9" x14ac:dyDescent="0.3">
      <c r="A55" s="13">
        <v>63</v>
      </c>
      <c r="B55" s="17">
        <f>START_HERE!$G$6</f>
        <v>208.72</v>
      </c>
      <c r="C55" s="17">
        <f>START_HERE!$G$7</f>
        <v>53</v>
      </c>
      <c r="D55" s="14">
        <f t="shared" si="4"/>
        <v>4799516.4000000004</v>
      </c>
      <c r="E55" s="14">
        <f t="shared" si="5"/>
        <v>1218735</v>
      </c>
      <c r="F55" s="14">
        <f>START_HERE!$G$9+START_HERE!$G$10</f>
        <v>2521000</v>
      </c>
      <c r="G55" s="14">
        <f t="shared" si="6"/>
        <v>1059781.4000000004</v>
      </c>
      <c r="H55" s="18">
        <f t="shared" si="7"/>
        <v>0.22081003827802323</v>
      </c>
      <c r="I55" t="str">
        <f>IF(G55&lt;0,"Below break even",IF(H55&lt;START_HERE!$B$19,"Profitable but below target","At or above target"))</f>
        <v>At or above target</v>
      </c>
    </row>
    <row r="56" spans="1:9" x14ac:dyDescent="0.3">
      <c r="A56" s="13">
        <v>64</v>
      </c>
      <c r="B56" s="17">
        <f>START_HERE!$G$6</f>
        <v>208.72</v>
      </c>
      <c r="C56" s="17">
        <f>START_HERE!$G$7</f>
        <v>53</v>
      </c>
      <c r="D56" s="14">
        <f t="shared" si="4"/>
        <v>4875699.2</v>
      </c>
      <c r="E56" s="14">
        <f t="shared" si="5"/>
        <v>1238080</v>
      </c>
      <c r="F56" s="14">
        <f>START_HERE!$G$9+START_HERE!$G$10</f>
        <v>2521000</v>
      </c>
      <c r="G56" s="14">
        <f t="shared" si="6"/>
        <v>1116619.2000000002</v>
      </c>
      <c r="H56" s="18">
        <f t="shared" si="7"/>
        <v>0.22901724536247031</v>
      </c>
      <c r="I56" t="str">
        <f>IF(G56&lt;0,"Below break even",IF(H56&lt;START_HERE!$B$19,"Profitable but below target","At or above target"))</f>
        <v>At or above target</v>
      </c>
    </row>
    <row r="57" spans="1:9" x14ac:dyDescent="0.3">
      <c r="A57" s="13">
        <v>65</v>
      </c>
      <c r="B57" s="17">
        <f>START_HERE!$G$6</f>
        <v>208.72</v>
      </c>
      <c r="C57" s="17">
        <f>START_HERE!$G$7</f>
        <v>53</v>
      </c>
      <c r="D57" s="14">
        <f t="shared" si="4"/>
        <v>4951882</v>
      </c>
      <c r="E57" s="14">
        <f t="shared" si="5"/>
        <v>1257425</v>
      </c>
      <c r="F57" s="14">
        <f>START_HERE!$G$9+START_HERE!$G$10</f>
        <v>2521000</v>
      </c>
      <c r="G57" s="14">
        <f t="shared" si="6"/>
        <v>1173457</v>
      </c>
      <c r="H57" s="18">
        <f t="shared" si="7"/>
        <v>0.23697192299816514</v>
      </c>
      <c r="I57" t="str">
        <f>IF(G57&lt;0,"Below break even",IF(H57&lt;START_HERE!$B$19,"Profitable but below target","At or above target"))</f>
        <v>At or above target</v>
      </c>
    </row>
    <row r="58" spans="1:9" x14ac:dyDescent="0.3">
      <c r="A58" s="13">
        <v>66</v>
      </c>
      <c r="B58" s="17">
        <f>START_HERE!$G$6</f>
        <v>208.72</v>
      </c>
      <c r="C58" s="17">
        <f>START_HERE!$G$7</f>
        <v>53</v>
      </c>
      <c r="D58" s="14">
        <f t="shared" si="4"/>
        <v>5028064.8</v>
      </c>
      <c r="E58" s="14">
        <f t="shared" si="5"/>
        <v>1276770</v>
      </c>
      <c r="F58" s="14">
        <f>START_HERE!$G$9+START_HERE!$G$10</f>
        <v>2521000</v>
      </c>
      <c r="G58" s="14">
        <f t="shared" si="6"/>
        <v>1230294.7999999998</v>
      </c>
      <c r="H58" s="18">
        <f t="shared" si="7"/>
        <v>0.24468554979641469</v>
      </c>
      <c r="I58" t="str">
        <f>IF(G58&lt;0,"Below break even",IF(H58&lt;START_HERE!$B$19,"Profitable but below target","At or above target"))</f>
        <v>At or above target</v>
      </c>
    </row>
    <row r="59" spans="1:9" x14ac:dyDescent="0.3">
      <c r="A59" s="13">
        <v>67</v>
      </c>
      <c r="B59" s="17">
        <f>START_HERE!$G$6</f>
        <v>208.72</v>
      </c>
      <c r="C59" s="17">
        <f>START_HERE!$G$7</f>
        <v>53</v>
      </c>
      <c r="D59" s="14">
        <f t="shared" si="4"/>
        <v>5104247.5999999996</v>
      </c>
      <c r="E59" s="14">
        <f t="shared" si="5"/>
        <v>1296115</v>
      </c>
      <c r="F59" s="14">
        <f>START_HERE!$G$9+START_HERE!$G$10</f>
        <v>2521000</v>
      </c>
      <c r="G59" s="14">
        <f t="shared" si="6"/>
        <v>1287132.5999999996</v>
      </c>
      <c r="H59" s="18">
        <f t="shared" si="7"/>
        <v>0.25216891907829858</v>
      </c>
      <c r="I59" t="str">
        <f>IF(G59&lt;0,"Below break even",IF(H59&lt;START_HERE!$B$19,"Profitable but below target","At or above target"))</f>
        <v>At or above target</v>
      </c>
    </row>
    <row r="60" spans="1:9" x14ac:dyDescent="0.3">
      <c r="A60" s="13">
        <v>68</v>
      </c>
      <c r="B60" s="17">
        <f>START_HERE!$G$6</f>
        <v>208.72</v>
      </c>
      <c r="C60" s="17">
        <f>START_HERE!$G$7</f>
        <v>53</v>
      </c>
      <c r="D60" s="14">
        <f t="shared" si="4"/>
        <v>5180430.3999999994</v>
      </c>
      <c r="E60" s="14">
        <f t="shared" si="5"/>
        <v>1315460</v>
      </c>
      <c r="F60" s="14">
        <f>START_HERE!$G$9+START_HERE!$G$10</f>
        <v>2521000</v>
      </c>
      <c r="G60" s="14">
        <f t="shared" si="6"/>
        <v>1343970.3999999994</v>
      </c>
      <c r="H60" s="18">
        <f t="shared" si="7"/>
        <v>0.25943218926365647</v>
      </c>
      <c r="I60" t="str">
        <f>IF(G60&lt;0,"Below break even",IF(H60&lt;START_HERE!$B$19,"Profitable but below target","At or above target"))</f>
        <v>At or above target</v>
      </c>
    </row>
    <row r="61" spans="1:9" x14ac:dyDescent="0.3">
      <c r="A61" s="13">
        <v>69</v>
      </c>
      <c r="B61" s="17">
        <f>START_HERE!$G$6</f>
        <v>208.72</v>
      </c>
      <c r="C61" s="17">
        <f>START_HERE!$G$7</f>
        <v>53</v>
      </c>
      <c r="D61" s="14">
        <f t="shared" si="4"/>
        <v>5256613.2</v>
      </c>
      <c r="E61" s="14">
        <f t="shared" si="5"/>
        <v>1334805</v>
      </c>
      <c r="F61" s="14">
        <f>START_HERE!$G$9+START_HERE!$G$10</f>
        <v>2521000</v>
      </c>
      <c r="G61" s="14">
        <f t="shared" si="6"/>
        <v>1400808.2000000002</v>
      </c>
      <c r="H61" s="18">
        <f t="shared" si="7"/>
        <v>0.26648492987842443</v>
      </c>
      <c r="I61" t="str">
        <f>IF(G61&lt;0,"Below break even",IF(H61&lt;START_HERE!$B$19,"Profitable but below target","At or above target"))</f>
        <v>At or above target</v>
      </c>
    </row>
    <row r="62" spans="1:9" x14ac:dyDescent="0.3">
      <c r="A62" s="13">
        <v>70</v>
      </c>
      <c r="B62" s="17">
        <f>START_HERE!$G$6</f>
        <v>208.72</v>
      </c>
      <c r="C62" s="17">
        <f>START_HERE!$G$7</f>
        <v>53</v>
      </c>
      <c r="D62" s="14">
        <f t="shared" si="4"/>
        <v>5332796</v>
      </c>
      <c r="E62" s="14">
        <f t="shared" si="5"/>
        <v>1354150</v>
      </c>
      <c r="F62" s="14">
        <f>START_HERE!$G$9+START_HERE!$G$10</f>
        <v>2521000</v>
      </c>
      <c r="G62" s="14">
        <f t="shared" si="6"/>
        <v>1457646</v>
      </c>
      <c r="H62" s="18">
        <f t="shared" si="7"/>
        <v>0.27333616361848456</v>
      </c>
      <c r="I62" t="str">
        <f>IF(G62&lt;0,"Below break even",IF(H62&lt;START_HERE!$B$19,"Profitable but below target","At or above target"))</f>
        <v>At or above target</v>
      </c>
    </row>
    <row r="63" spans="1:9" x14ac:dyDescent="0.3">
      <c r="A63" s="13">
        <v>71</v>
      </c>
      <c r="B63" s="17">
        <f>START_HERE!$G$6</f>
        <v>208.72</v>
      </c>
      <c r="C63" s="17">
        <f>START_HERE!$G$7</f>
        <v>53</v>
      </c>
      <c r="D63" s="14">
        <f t="shared" si="4"/>
        <v>5408978.8000000007</v>
      </c>
      <c r="E63" s="14">
        <f t="shared" si="5"/>
        <v>1373495</v>
      </c>
      <c r="F63" s="14">
        <f>START_HERE!$G$9+START_HERE!$G$10</f>
        <v>2521000</v>
      </c>
      <c r="G63" s="14">
        <f t="shared" si="6"/>
        <v>1514483.8000000007</v>
      </c>
      <c r="H63" s="18">
        <f t="shared" si="7"/>
        <v>0.27999440485882482</v>
      </c>
      <c r="I63" t="str">
        <f>IF(G63&lt;0,"Below break even",IF(H63&lt;START_HERE!$B$19,"Profitable but below target","At or above target"))</f>
        <v>At or above target</v>
      </c>
    </row>
    <row r="64" spans="1:9" x14ac:dyDescent="0.3">
      <c r="A64" s="13">
        <v>72</v>
      </c>
      <c r="B64" s="17">
        <f>START_HERE!$G$6</f>
        <v>208.72</v>
      </c>
      <c r="C64" s="17">
        <f>START_HERE!$G$7</f>
        <v>53</v>
      </c>
      <c r="D64" s="14">
        <f t="shared" si="4"/>
        <v>5485161.5999999996</v>
      </c>
      <c r="E64" s="14">
        <f t="shared" si="5"/>
        <v>1392840</v>
      </c>
      <c r="F64" s="14">
        <f>START_HERE!$G$9+START_HERE!$G$10</f>
        <v>2521000</v>
      </c>
      <c r="G64" s="14">
        <f t="shared" si="6"/>
        <v>1571321.5999999996</v>
      </c>
      <c r="H64" s="18">
        <f t="shared" si="7"/>
        <v>0.28646769495359986</v>
      </c>
      <c r="I64" t="str">
        <f>IF(G64&lt;0,"Below break even",IF(H64&lt;START_HERE!$B$19,"Profitable but below target","At or above target"))</f>
        <v>At or above target</v>
      </c>
    </row>
    <row r="65" spans="1:9" x14ac:dyDescent="0.3">
      <c r="A65" s="13">
        <v>73</v>
      </c>
      <c r="B65" s="17">
        <f>START_HERE!$G$6</f>
        <v>208.72</v>
      </c>
      <c r="C65" s="17">
        <f>START_HERE!$G$7</f>
        <v>53</v>
      </c>
      <c r="D65" s="14">
        <f t="shared" si="4"/>
        <v>5561344.3999999994</v>
      </c>
      <c r="E65" s="14">
        <f t="shared" si="5"/>
        <v>1412185</v>
      </c>
      <c r="F65" s="14">
        <f>START_HERE!$G$9+START_HERE!$G$10</f>
        <v>2521000</v>
      </c>
      <c r="G65" s="14">
        <f t="shared" si="6"/>
        <v>1628159.3999999994</v>
      </c>
      <c r="H65" s="18">
        <f t="shared" si="7"/>
        <v>0.29276363463481953</v>
      </c>
      <c r="I65" t="str">
        <f>IF(G65&lt;0,"Below break even",IF(H65&lt;START_HERE!$B$19,"Profitable but below target","At or above target"))</f>
        <v>At or above target</v>
      </c>
    </row>
    <row r="66" spans="1:9" x14ac:dyDescent="0.3">
      <c r="A66" s="13">
        <v>74</v>
      </c>
      <c r="B66" s="17">
        <f>START_HERE!$G$6</f>
        <v>208.72</v>
      </c>
      <c r="C66" s="17">
        <f>START_HERE!$G$7</f>
        <v>53</v>
      </c>
      <c r="D66" s="14">
        <f t="shared" ref="D66:D97" si="8">A66*B66*365</f>
        <v>5637527.2000000002</v>
      </c>
      <c r="E66" s="14">
        <f t="shared" ref="E66:E97" si="9">A66*C66*365</f>
        <v>1431530</v>
      </c>
      <c r="F66" s="14">
        <f>START_HERE!$G$9+START_HERE!$G$10</f>
        <v>2521000</v>
      </c>
      <c r="G66" s="14">
        <f t="shared" ref="G66:G97" si="10">D66-E66-F66</f>
        <v>1684997.2000000002</v>
      </c>
      <c r="H66" s="18">
        <f t="shared" ref="H66:H97" si="11">IF(D66=0,0,G66/D66)</f>
        <v>0.29888941378411443</v>
      </c>
      <c r="I66" t="str">
        <f>IF(G66&lt;0,"Below break even",IF(H66&lt;START_HERE!$B$19,"Profitable but below target","At or above target"))</f>
        <v>At or above target</v>
      </c>
    </row>
    <row r="67" spans="1:9" x14ac:dyDescent="0.3">
      <c r="A67" s="13">
        <v>75</v>
      </c>
      <c r="B67" s="17">
        <f>START_HERE!$G$6</f>
        <v>208.72</v>
      </c>
      <c r="C67" s="17">
        <f>START_HERE!$G$7</f>
        <v>53</v>
      </c>
      <c r="D67" s="14">
        <f t="shared" si="8"/>
        <v>5713710</v>
      </c>
      <c r="E67" s="14">
        <f t="shared" si="9"/>
        <v>1450875</v>
      </c>
      <c r="F67" s="14">
        <f>START_HERE!$G$9+START_HERE!$G$10</f>
        <v>2521000</v>
      </c>
      <c r="G67" s="14">
        <f t="shared" si="10"/>
        <v>1741835</v>
      </c>
      <c r="H67" s="18">
        <f t="shared" si="11"/>
        <v>0.3048518388227614</v>
      </c>
      <c r="I67" t="str">
        <f>IF(G67&lt;0,"Below break even",IF(H67&lt;START_HERE!$B$19,"Profitable but below target","At or above target"))</f>
        <v>At or above target</v>
      </c>
    </row>
    <row r="68" spans="1:9" x14ac:dyDescent="0.3">
      <c r="A68" s="13">
        <v>76</v>
      </c>
      <c r="B68" s="17">
        <f>START_HERE!$G$6</f>
        <v>208.72</v>
      </c>
      <c r="C68" s="17">
        <f>START_HERE!$G$7</f>
        <v>53</v>
      </c>
      <c r="D68" s="14">
        <f t="shared" si="8"/>
        <v>5789892.7999999998</v>
      </c>
      <c r="E68" s="14">
        <f t="shared" si="9"/>
        <v>1470220</v>
      </c>
      <c r="F68" s="14">
        <f>START_HERE!$G$9+START_HERE!$G$10</f>
        <v>2521000</v>
      </c>
      <c r="G68" s="14">
        <f t="shared" si="10"/>
        <v>1798672.7999999998</v>
      </c>
      <c r="H68" s="18">
        <f t="shared" si="11"/>
        <v>0.31065735793933869</v>
      </c>
      <c r="I68" t="str">
        <f>IF(G68&lt;0,"Below break even",IF(H68&lt;START_HERE!$B$19,"Profitable but below target","At or above target"))</f>
        <v>At or above target</v>
      </c>
    </row>
    <row r="69" spans="1:9" x14ac:dyDescent="0.3">
      <c r="A69" s="13">
        <v>77</v>
      </c>
      <c r="B69" s="17">
        <f>START_HERE!$G$6</f>
        <v>208.72</v>
      </c>
      <c r="C69" s="17">
        <f>START_HERE!$G$7</f>
        <v>53</v>
      </c>
      <c r="D69" s="14">
        <f t="shared" si="8"/>
        <v>5866075.6000000006</v>
      </c>
      <c r="E69" s="14">
        <f t="shared" si="9"/>
        <v>1489565</v>
      </c>
      <c r="F69" s="14">
        <f>START_HERE!$G$9+START_HERE!$G$10</f>
        <v>2521000</v>
      </c>
      <c r="G69" s="14">
        <f t="shared" si="10"/>
        <v>1855510.6000000006</v>
      </c>
      <c r="H69" s="18">
        <f t="shared" si="11"/>
        <v>0.31631208435158942</v>
      </c>
      <c r="I69" t="str">
        <f>IF(G69&lt;0,"Below break even",IF(H69&lt;START_HERE!$B$19,"Profitable but below target","At or above target"))</f>
        <v>At or above target</v>
      </c>
    </row>
    <row r="70" spans="1:9" x14ac:dyDescent="0.3">
      <c r="A70" s="13">
        <v>78</v>
      </c>
      <c r="B70" s="17">
        <f>START_HERE!$G$6</f>
        <v>208.72</v>
      </c>
      <c r="C70" s="17">
        <f>START_HERE!$G$7</f>
        <v>53</v>
      </c>
      <c r="D70" s="14">
        <f t="shared" si="8"/>
        <v>5942258.4000000004</v>
      </c>
      <c r="E70" s="14">
        <f t="shared" si="9"/>
        <v>1508910</v>
      </c>
      <c r="F70" s="14">
        <f>START_HERE!$G$9+START_HERE!$G$10</f>
        <v>2521000</v>
      </c>
      <c r="G70" s="14">
        <f t="shared" si="10"/>
        <v>1912348.4000000004</v>
      </c>
      <c r="H70" s="18">
        <f t="shared" si="11"/>
        <v>0.3218218177789105</v>
      </c>
      <c r="I70" t="str">
        <f>IF(G70&lt;0,"Below break even",IF(H70&lt;START_HERE!$B$19,"Profitable but below target","At or above target"))</f>
        <v>At or above target</v>
      </c>
    </row>
    <row r="71" spans="1:9" x14ac:dyDescent="0.3">
      <c r="A71" s="13">
        <v>79</v>
      </c>
      <c r="B71" s="17">
        <f>START_HERE!$G$6</f>
        <v>208.72</v>
      </c>
      <c r="C71" s="17">
        <f>START_HERE!$G$7</f>
        <v>53</v>
      </c>
      <c r="D71" s="14">
        <f t="shared" si="8"/>
        <v>6018441.2000000002</v>
      </c>
      <c r="E71" s="14">
        <f t="shared" si="9"/>
        <v>1528255</v>
      </c>
      <c r="F71" s="14">
        <f>START_HERE!$G$9+START_HERE!$G$10</f>
        <v>2521000</v>
      </c>
      <c r="G71" s="14">
        <f t="shared" si="10"/>
        <v>1969186.2000000002</v>
      </c>
      <c r="H71" s="18">
        <f t="shared" si="11"/>
        <v>0.32719206428402092</v>
      </c>
      <c r="I71" t="str">
        <f>IF(G71&lt;0,"Below break even",IF(H71&lt;START_HERE!$B$19,"Profitable but below target","At or above target"))</f>
        <v>At or above target</v>
      </c>
    </row>
    <row r="72" spans="1:9" x14ac:dyDescent="0.3">
      <c r="A72" s="13">
        <v>80</v>
      </c>
      <c r="B72" s="17">
        <f>START_HERE!$G$6</f>
        <v>208.72</v>
      </c>
      <c r="C72" s="17">
        <f>START_HERE!$G$7</f>
        <v>53</v>
      </c>
      <c r="D72" s="14">
        <f t="shared" si="8"/>
        <v>6094623.9999999991</v>
      </c>
      <c r="E72" s="14">
        <f t="shared" si="9"/>
        <v>1547600</v>
      </c>
      <c r="F72" s="14">
        <f>START_HERE!$G$9+START_HERE!$G$10</f>
        <v>2521000</v>
      </c>
      <c r="G72" s="14">
        <f t="shared" si="10"/>
        <v>2026023.9999999991</v>
      </c>
      <c r="H72" s="18">
        <f t="shared" si="11"/>
        <v>0.33242805462650354</v>
      </c>
      <c r="I72" t="str">
        <f>IF(G72&lt;0,"Below break even",IF(H72&lt;START_HERE!$B$19,"Profitable but below target","At or above target"))</f>
        <v>At or above target</v>
      </c>
    </row>
    <row r="73" spans="1:9" x14ac:dyDescent="0.3">
      <c r="A73" s="13">
        <v>81</v>
      </c>
      <c r="B73" s="17">
        <f>START_HERE!$G$6</f>
        <v>208.72</v>
      </c>
      <c r="C73" s="17">
        <f>START_HERE!$G$7</f>
        <v>53</v>
      </c>
      <c r="D73" s="14">
        <f t="shared" si="8"/>
        <v>6170806.7999999998</v>
      </c>
      <c r="E73" s="14">
        <f t="shared" si="9"/>
        <v>1566945</v>
      </c>
      <c r="F73" s="14">
        <f>START_HERE!$G$9+START_HERE!$G$10</f>
        <v>2521000</v>
      </c>
      <c r="G73" s="14">
        <f t="shared" si="10"/>
        <v>2082861.7999999998</v>
      </c>
      <c r="H73" s="18">
        <f t="shared" si="11"/>
        <v>0.33753476125682624</v>
      </c>
      <c r="I73" t="str">
        <f>IF(G73&lt;0,"Below break even",IF(H73&lt;START_HERE!$B$19,"Profitable but below target","At or above target"))</f>
        <v>At or above target</v>
      </c>
    </row>
    <row r="74" spans="1:9" x14ac:dyDescent="0.3">
      <c r="A74" s="13">
        <v>82</v>
      </c>
      <c r="B74" s="17">
        <f>START_HERE!$G$6</f>
        <v>208.72</v>
      </c>
      <c r="C74" s="17">
        <f>START_HERE!$G$7</f>
        <v>53</v>
      </c>
      <c r="D74" s="14">
        <f t="shared" si="8"/>
        <v>6246989.6000000006</v>
      </c>
      <c r="E74" s="14">
        <f t="shared" si="9"/>
        <v>1586290</v>
      </c>
      <c r="F74" s="14">
        <f>START_HERE!$G$9+START_HERE!$G$10</f>
        <v>2521000</v>
      </c>
      <c r="G74" s="14">
        <f t="shared" si="10"/>
        <v>2139699.6000000006</v>
      </c>
      <c r="H74" s="18">
        <f t="shared" si="11"/>
        <v>0.34251691406689716</v>
      </c>
      <c r="I74" t="str">
        <f>IF(G74&lt;0,"Below break even",IF(H74&lt;START_HERE!$B$19,"Profitable but below target","At or above target"))</f>
        <v>At or above target</v>
      </c>
    </row>
    <row r="75" spans="1:9" x14ac:dyDescent="0.3">
      <c r="A75" s="13">
        <v>83</v>
      </c>
      <c r="B75" s="17">
        <f>START_HERE!$G$6</f>
        <v>208.72</v>
      </c>
      <c r="C75" s="17">
        <f>START_HERE!$G$7</f>
        <v>53</v>
      </c>
      <c r="D75" s="14">
        <f t="shared" si="8"/>
        <v>6323172.3999999994</v>
      </c>
      <c r="E75" s="14">
        <f t="shared" si="9"/>
        <v>1605635</v>
      </c>
      <c r="F75" s="14">
        <f>START_HERE!$G$9+START_HERE!$G$10</f>
        <v>2521000</v>
      </c>
      <c r="G75" s="14">
        <f t="shared" si="10"/>
        <v>2196537.3999999994</v>
      </c>
      <c r="H75" s="18">
        <f t="shared" si="11"/>
        <v>0.34737901500202645</v>
      </c>
      <c r="I75" t="str">
        <f>IF(G75&lt;0,"Below break even",IF(H75&lt;START_HERE!$B$19,"Profitable but below target","At or above target"))</f>
        <v>At or above target</v>
      </c>
    </row>
    <row r="76" spans="1:9" x14ac:dyDescent="0.3">
      <c r="A76" s="13">
        <v>84</v>
      </c>
      <c r="B76" s="17">
        <f>START_HERE!$G$6</f>
        <v>208.72</v>
      </c>
      <c r="C76" s="17">
        <f>START_HERE!$G$7</f>
        <v>53</v>
      </c>
      <c r="D76" s="14">
        <f t="shared" si="8"/>
        <v>6399355.2000000002</v>
      </c>
      <c r="E76" s="14">
        <f t="shared" si="9"/>
        <v>1624980</v>
      </c>
      <c r="F76" s="14">
        <f>START_HERE!$G$9+START_HERE!$G$10</f>
        <v>2521000</v>
      </c>
      <c r="G76" s="14">
        <f t="shared" si="10"/>
        <v>2253375.2000000002</v>
      </c>
      <c r="H76" s="18">
        <f t="shared" si="11"/>
        <v>0.35212535162917669</v>
      </c>
      <c r="I76" t="str">
        <f>IF(G76&lt;0,"Below break even",IF(H76&lt;START_HERE!$B$19,"Profitable but below target","At or above target"))</f>
        <v>At or above target</v>
      </c>
    </row>
    <row r="77" spans="1:9" x14ac:dyDescent="0.3">
      <c r="A77" s="13">
        <v>85</v>
      </c>
      <c r="B77" s="17">
        <f>START_HERE!$G$6</f>
        <v>208.72</v>
      </c>
      <c r="C77" s="17">
        <f>START_HERE!$G$7</f>
        <v>53</v>
      </c>
      <c r="D77" s="14">
        <f t="shared" si="8"/>
        <v>6475538</v>
      </c>
      <c r="E77" s="14">
        <f t="shared" si="9"/>
        <v>1644325</v>
      </c>
      <c r="F77" s="14">
        <f>START_HERE!$G$9+START_HERE!$G$10</f>
        <v>2521000</v>
      </c>
      <c r="G77" s="14">
        <f t="shared" si="10"/>
        <v>2310213</v>
      </c>
      <c r="H77" s="18">
        <f t="shared" si="11"/>
        <v>0.35676000974745264</v>
      </c>
      <c r="I77" t="str">
        <f>IF(G77&lt;0,"Below break even",IF(H77&lt;START_HERE!$B$19,"Profitable but below target","At or above target"))</f>
        <v>At or above target</v>
      </c>
    </row>
    <row r="78" spans="1:9" x14ac:dyDescent="0.3">
      <c r="A78" s="13">
        <v>86</v>
      </c>
      <c r="B78" s="17">
        <f>START_HERE!$G$6</f>
        <v>208.72</v>
      </c>
      <c r="C78" s="17">
        <f>START_HERE!$G$7</f>
        <v>53</v>
      </c>
      <c r="D78" s="14">
        <f t="shared" si="8"/>
        <v>6551720.7999999998</v>
      </c>
      <c r="E78" s="14">
        <f t="shared" si="9"/>
        <v>1663670</v>
      </c>
      <c r="F78" s="14">
        <f>START_HERE!$G$9+START_HERE!$G$10</f>
        <v>2521000</v>
      </c>
      <c r="G78" s="14">
        <f t="shared" si="10"/>
        <v>2367050.7999999998</v>
      </c>
      <c r="H78" s="18">
        <f t="shared" si="11"/>
        <v>0.36128688511879198</v>
      </c>
      <c r="I78" t="str">
        <f>IF(G78&lt;0,"Below break even",IF(H78&lt;START_HERE!$B$19,"Profitable but below target","At or above target"))</f>
        <v>At or above target</v>
      </c>
    </row>
    <row r="79" spans="1:9" x14ac:dyDescent="0.3">
      <c r="A79" s="13">
        <v>87</v>
      </c>
      <c r="B79" s="17">
        <f>START_HERE!$G$6</f>
        <v>208.72</v>
      </c>
      <c r="C79" s="17">
        <f>START_HERE!$G$7</f>
        <v>53</v>
      </c>
      <c r="D79" s="14">
        <f t="shared" si="8"/>
        <v>6627903.5999999996</v>
      </c>
      <c r="E79" s="14">
        <f t="shared" si="9"/>
        <v>1683015</v>
      </c>
      <c r="F79" s="14">
        <f>START_HERE!$G$9+START_HERE!$G$10</f>
        <v>2521000</v>
      </c>
      <c r="G79" s="14">
        <f t="shared" si="10"/>
        <v>2423888.5999999996</v>
      </c>
      <c r="H79" s="18">
        <f t="shared" si="11"/>
        <v>0.36570969438964074</v>
      </c>
      <c r="I79" t="str">
        <f>IF(G79&lt;0,"Below break even",IF(H79&lt;START_HERE!$B$19,"Profitable but below target","At or above target"))</f>
        <v>At or above target</v>
      </c>
    </row>
    <row r="80" spans="1:9" x14ac:dyDescent="0.3">
      <c r="A80" s="13">
        <v>88</v>
      </c>
      <c r="B80" s="17">
        <f>START_HERE!$G$6</f>
        <v>208.72</v>
      </c>
      <c r="C80" s="17">
        <f>START_HERE!$G$7</f>
        <v>53</v>
      </c>
      <c r="D80" s="14">
        <f t="shared" si="8"/>
        <v>6704086.4000000004</v>
      </c>
      <c r="E80" s="14">
        <f t="shared" si="9"/>
        <v>1702360</v>
      </c>
      <c r="F80" s="14">
        <f>START_HERE!$G$9+START_HERE!$G$10</f>
        <v>2521000</v>
      </c>
      <c r="G80" s="14">
        <f t="shared" si="10"/>
        <v>2480726.4000000004</v>
      </c>
      <c r="H80" s="18">
        <f t="shared" si="11"/>
        <v>0.37003198526797032</v>
      </c>
      <c r="I80" t="str">
        <f>IF(G80&lt;0,"Below break even",IF(H80&lt;START_HERE!$B$19,"Profitable but below target","At or above target"))</f>
        <v>At or above target</v>
      </c>
    </row>
    <row r="81" spans="1:9" x14ac:dyDescent="0.3">
      <c r="A81" s="13">
        <v>89</v>
      </c>
      <c r="B81" s="17">
        <f>START_HERE!$G$6</f>
        <v>208.72</v>
      </c>
      <c r="C81" s="17">
        <f>START_HERE!$G$7</f>
        <v>53</v>
      </c>
      <c r="D81" s="14">
        <f t="shared" si="8"/>
        <v>6780269.1999999993</v>
      </c>
      <c r="E81" s="14">
        <f t="shared" si="9"/>
        <v>1721705</v>
      </c>
      <c r="F81" s="14">
        <f>START_HERE!$G$9+START_HERE!$G$10</f>
        <v>2521000</v>
      </c>
      <c r="G81" s="14">
        <f t="shared" si="10"/>
        <v>2537564.1999999993</v>
      </c>
      <c r="H81" s="18">
        <f t="shared" si="11"/>
        <v>0.37425714601420246</v>
      </c>
      <c r="I81" t="str">
        <f>IF(G81&lt;0,"Below break even",IF(H81&lt;START_HERE!$B$19,"Profitable but below target","At or above target"))</f>
        <v>At or above target</v>
      </c>
    </row>
    <row r="82" spans="1:9" x14ac:dyDescent="0.3">
      <c r="A82" s="13">
        <v>90</v>
      </c>
      <c r="B82" s="17">
        <f>START_HERE!$G$6</f>
        <v>208.72</v>
      </c>
      <c r="C82" s="17">
        <f>START_HERE!$G$7</f>
        <v>53</v>
      </c>
      <c r="D82" s="14">
        <f t="shared" si="8"/>
        <v>6856452</v>
      </c>
      <c r="E82" s="14">
        <f t="shared" si="9"/>
        <v>1741050</v>
      </c>
      <c r="F82" s="14">
        <f>START_HERE!$G$9+START_HERE!$G$10</f>
        <v>2521000</v>
      </c>
      <c r="G82" s="14">
        <f t="shared" si="10"/>
        <v>2594402</v>
      </c>
      <c r="H82" s="18">
        <f t="shared" si="11"/>
        <v>0.37838841429940734</v>
      </c>
      <c r="I82" t="str">
        <f>IF(G82&lt;0,"Below break even",IF(H82&lt;START_HERE!$B$19,"Profitable but below target","At or above target"))</f>
        <v>At or above target</v>
      </c>
    </row>
    <row r="83" spans="1:9" x14ac:dyDescent="0.3">
      <c r="A83" s="13">
        <v>91</v>
      </c>
      <c r="B83" s="17">
        <f>START_HERE!$G$6</f>
        <v>208.72</v>
      </c>
      <c r="C83" s="17">
        <f>START_HERE!$G$7</f>
        <v>53</v>
      </c>
      <c r="D83" s="14">
        <f t="shared" si="8"/>
        <v>6932634.7999999998</v>
      </c>
      <c r="E83" s="14">
        <f t="shared" si="9"/>
        <v>1760395</v>
      </c>
      <c r="F83" s="14">
        <f>START_HERE!$G$9+START_HERE!$G$10</f>
        <v>2521000</v>
      </c>
      <c r="G83" s="14">
        <f t="shared" si="10"/>
        <v>2651239.7999999998</v>
      </c>
      <c r="H83" s="18">
        <f t="shared" si="11"/>
        <v>0.38242888547944281</v>
      </c>
      <c r="I83" t="str">
        <f>IF(G83&lt;0,"Below break even",IF(H83&lt;START_HERE!$B$19,"Profitable but below target","At or above target"))</f>
        <v>At or above target</v>
      </c>
    </row>
    <row r="84" spans="1:9" x14ac:dyDescent="0.3">
      <c r="A84" s="13">
        <v>92</v>
      </c>
      <c r="B84" s="17">
        <f>START_HERE!$G$6</f>
        <v>208.72</v>
      </c>
      <c r="C84" s="17">
        <f>START_HERE!$G$7</f>
        <v>53</v>
      </c>
      <c r="D84" s="14">
        <f t="shared" si="8"/>
        <v>7008817.6000000006</v>
      </c>
      <c r="E84" s="14">
        <f t="shared" si="9"/>
        <v>1779740</v>
      </c>
      <c r="F84" s="14">
        <f>START_HERE!$G$9+START_HERE!$G$10</f>
        <v>2521000</v>
      </c>
      <c r="G84" s="14">
        <f t="shared" si="10"/>
        <v>2708077.6000000006</v>
      </c>
      <c r="H84" s="18">
        <f t="shared" si="11"/>
        <v>0.38638152032947759</v>
      </c>
      <c r="I84" t="str">
        <f>IF(G84&lt;0,"Below break even",IF(H84&lt;START_HERE!$B$19,"Profitable but below target","At or above target"))</f>
        <v>At or above target</v>
      </c>
    </row>
    <row r="85" spans="1:9" x14ac:dyDescent="0.3">
      <c r="A85" s="13">
        <v>93</v>
      </c>
      <c r="B85" s="17">
        <f>START_HERE!$G$6</f>
        <v>208.72</v>
      </c>
      <c r="C85" s="17">
        <f>START_HERE!$G$7</f>
        <v>53</v>
      </c>
      <c r="D85" s="14">
        <f t="shared" si="8"/>
        <v>7085000.3999999994</v>
      </c>
      <c r="E85" s="14">
        <f t="shared" si="9"/>
        <v>1799085</v>
      </c>
      <c r="F85" s="14">
        <f>START_HERE!$G$9+START_HERE!$G$10</f>
        <v>2521000</v>
      </c>
      <c r="G85" s="14">
        <f t="shared" si="10"/>
        <v>2764915.3999999994</v>
      </c>
      <c r="H85" s="18">
        <f t="shared" si="11"/>
        <v>0.39024915227951146</v>
      </c>
      <c r="I85" t="str">
        <f>IF(G85&lt;0,"Below break even",IF(H85&lt;START_HERE!$B$19,"Profitable but below target","At or above target"))</f>
        <v>At or above target</v>
      </c>
    </row>
    <row r="86" spans="1:9" x14ac:dyDescent="0.3">
      <c r="A86" s="13">
        <v>94</v>
      </c>
      <c r="B86" s="17">
        <f>START_HERE!$G$6</f>
        <v>208.72</v>
      </c>
      <c r="C86" s="17">
        <f>START_HERE!$G$7</f>
        <v>53</v>
      </c>
      <c r="D86" s="14">
        <f t="shared" si="8"/>
        <v>7161183.2000000002</v>
      </c>
      <c r="E86" s="14">
        <f t="shared" si="9"/>
        <v>1818430</v>
      </c>
      <c r="F86" s="14">
        <f>START_HERE!$G$9+START_HERE!$G$10</f>
        <v>2521000</v>
      </c>
      <c r="G86" s="14">
        <f t="shared" si="10"/>
        <v>2821753.2</v>
      </c>
      <c r="H86" s="18">
        <f t="shared" si="11"/>
        <v>0.39403449418805542</v>
      </c>
      <c r="I86" t="str">
        <f>IF(G86&lt;0,"Below break even",IF(H86&lt;START_HERE!$B$19,"Profitable but below target","At or above target"))</f>
        <v>At or above target</v>
      </c>
    </row>
    <row r="87" spans="1:9" x14ac:dyDescent="0.3">
      <c r="A87" s="13">
        <v>95</v>
      </c>
      <c r="B87" s="17">
        <f>START_HERE!$G$6</f>
        <v>208.72</v>
      </c>
      <c r="C87" s="17">
        <f>START_HERE!$G$7</f>
        <v>53</v>
      </c>
      <c r="D87" s="14">
        <f t="shared" si="8"/>
        <v>7237366.0000000009</v>
      </c>
      <c r="E87" s="14">
        <f t="shared" si="9"/>
        <v>1837775</v>
      </c>
      <c r="F87" s="14">
        <f>START_HERE!$G$9+START_HERE!$G$10</f>
        <v>2521000</v>
      </c>
      <c r="G87" s="14">
        <f t="shared" si="10"/>
        <v>2878591.0000000009</v>
      </c>
      <c r="H87" s="18">
        <f t="shared" si="11"/>
        <v>0.39774014468799845</v>
      </c>
      <c r="I87" t="str">
        <f>IF(G87&lt;0,"Below break even",IF(H87&lt;START_HERE!$B$19,"Profitable but below target","At or above target"))</f>
        <v>At or above target</v>
      </c>
    </row>
    <row r="88" spans="1:9" x14ac:dyDescent="0.3">
      <c r="A88" s="13">
        <v>96</v>
      </c>
      <c r="B88" s="17">
        <f>START_HERE!$G$6</f>
        <v>208.72</v>
      </c>
      <c r="C88" s="17">
        <f>START_HERE!$G$7</f>
        <v>53</v>
      </c>
      <c r="D88" s="14">
        <f t="shared" si="8"/>
        <v>7313548.7999999998</v>
      </c>
      <c r="E88" s="14">
        <f t="shared" si="9"/>
        <v>1857120</v>
      </c>
      <c r="F88" s="14">
        <f>START_HERE!$G$9+START_HERE!$G$10</f>
        <v>2521000</v>
      </c>
      <c r="G88" s="14">
        <f t="shared" si="10"/>
        <v>2935428.8</v>
      </c>
      <c r="H88" s="18">
        <f t="shared" si="11"/>
        <v>0.40136859413585918</v>
      </c>
      <c r="I88" t="str">
        <f>IF(G88&lt;0,"Below break even",IF(H88&lt;START_HERE!$B$19,"Profitable but below target","At or above target"))</f>
        <v>At or above target</v>
      </c>
    </row>
    <row r="89" spans="1:9" x14ac:dyDescent="0.3">
      <c r="A89" s="13">
        <v>97</v>
      </c>
      <c r="B89" s="17">
        <f>START_HERE!$G$6</f>
        <v>208.72</v>
      </c>
      <c r="C89" s="17">
        <f>START_HERE!$G$7</f>
        <v>53</v>
      </c>
      <c r="D89" s="14">
        <f t="shared" si="8"/>
        <v>7389731.5999999996</v>
      </c>
      <c r="E89" s="14">
        <f t="shared" si="9"/>
        <v>1876465</v>
      </c>
      <c r="F89" s="14">
        <f>START_HERE!$G$9+START_HERE!$G$10</f>
        <v>2521000</v>
      </c>
      <c r="G89" s="14">
        <f t="shared" si="10"/>
        <v>2992266.5999999996</v>
      </c>
      <c r="H89" s="18">
        <f t="shared" si="11"/>
        <v>0.40492223019304241</v>
      </c>
      <c r="I89" t="str">
        <f>IF(G89&lt;0,"Below break even",IF(H89&lt;START_HERE!$B$19,"Profitable but below target","At or above target"))</f>
        <v>At or above target</v>
      </c>
    </row>
    <row r="90" spans="1:9" x14ac:dyDescent="0.3">
      <c r="A90" s="13">
        <v>98</v>
      </c>
      <c r="B90" s="17">
        <f>START_HERE!$G$6</f>
        <v>208.72</v>
      </c>
      <c r="C90" s="17">
        <f>START_HERE!$G$7</f>
        <v>53</v>
      </c>
      <c r="D90" s="14">
        <f t="shared" si="8"/>
        <v>7465914.4000000004</v>
      </c>
      <c r="E90" s="14">
        <f t="shared" si="9"/>
        <v>1895810</v>
      </c>
      <c r="F90" s="14">
        <f>START_HERE!$G$9+START_HERE!$G$10</f>
        <v>2521000</v>
      </c>
      <c r="G90" s="14">
        <f t="shared" si="10"/>
        <v>3049104.4000000004</v>
      </c>
      <c r="H90" s="18">
        <f t="shared" si="11"/>
        <v>0.40840334306538528</v>
      </c>
      <c r="I90" t="str">
        <f>IF(G90&lt;0,"Below break even",IF(H90&lt;START_HERE!$B$19,"Profitable but below target","At or above target"))</f>
        <v>At or above target</v>
      </c>
    </row>
    <row r="91" spans="1:9" x14ac:dyDescent="0.3">
      <c r="A91" s="13">
        <v>99</v>
      </c>
      <c r="B91" s="17">
        <f>START_HERE!$G$6</f>
        <v>208.72</v>
      </c>
      <c r="C91" s="17">
        <f>START_HERE!$G$7</f>
        <v>53</v>
      </c>
      <c r="D91" s="14">
        <f t="shared" si="8"/>
        <v>7542097.1999999993</v>
      </c>
      <c r="E91" s="14">
        <f t="shared" si="9"/>
        <v>1915155</v>
      </c>
      <c r="F91" s="14">
        <f>START_HERE!$G$9+START_HERE!$G$10</f>
        <v>2521000</v>
      </c>
      <c r="G91" s="14">
        <f t="shared" si="10"/>
        <v>3105942.1999999993</v>
      </c>
      <c r="H91" s="18">
        <f t="shared" si="11"/>
        <v>0.41181413042515541</v>
      </c>
      <c r="I91" t="str">
        <f>IF(G91&lt;0,"Below break even",IF(H91&lt;START_HERE!$B$19,"Profitable but below target","At or above target"))</f>
        <v>At or above target</v>
      </c>
    </row>
    <row r="92" spans="1:9" x14ac:dyDescent="0.3">
      <c r="A92" s="13">
        <v>100</v>
      </c>
      <c r="B92" s="17">
        <f>START_HERE!$G$6</f>
        <v>208.72</v>
      </c>
      <c r="C92" s="17">
        <f>START_HERE!$G$7</f>
        <v>53</v>
      </c>
      <c r="D92" s="14">
        <f t="shared" si="8"/>
        <v>7618280</v>
      </c>
      <c r="E92" s="14">
        <f t="shared" si="9"/>
        <v>1934500</v>
      </c>
      <c r="F92" s="14">
        <f>START_HERE!$G$9+START_HERE!$G$10</f>
        <v>2521000</v>
      </c>
      <c r="G92" s="14">
        <f t="shared" si="10"/>
        <v>3162780</v>
      </c>
      <c r="H92" s="18">
        <f t="shared" si="11"/>
        <v>0.41515670203773031</v>
      </c>
      <c r="I92" t="str">
        <f>IF(G92&lt;0,"Below break even",IF(H92&lt;START_HERE!$B$19,"Profitable but below target","At or above target"))</f>
        <v>At or above target</v>
      </c>
    </row>
    <row r="93" spans="1:9" x14ac:dyDescent="0.3">
      <c r="A93" s="13">
        <v>101</v>
      </c>
      <c r="B93" s="17">
        <f>START_HERE!$G$6</f>
        <v>208.72</v>
      </c>
      <c r="C93" s="17">
        <f>START_HERE!$G$7</f>
        <v>53</v>
      </c>
      <c r="D93" s="14">
        <f t="shared" si="8"/>
        <v>7694462.8000000007</v>
      </c>
      <c r="E93" s="14">
        <f t="shared" si="9"/>
        <v>1953845</v>
      </c>
      <c r="F93" s="14">
        <f>START_HERE!$G$9+START_HERE!$G$10</f>
        <v>2521000</v>
      </c>
      <c r="G93" s="14">
        <f t="shared" si="10"/>
        <v>3219617.8000000007</v>
      </c>
      <c r="H93" s="18">
        <f t="shared" si="11"/>
        <v>0.4184330841134225</v>
      </c>
      <c r="I93" t="str">
        <f>IF(G93&lt;0,"Below break even",IF(H93&lt;START_HERE!$B$19,"Profitable but below target","At or above target"))</f>
        <v>At or above target</v>
      </c>
    </row>
    <row r="94" spans="1:9" x14ac:dyDescent="0.3">
      <c r="A94" s="13">
        <v>102</v>
      </c>
      <c r="B94" s="17">
        <f>START_HERE!$G$6</f>
        <v>208.72</v>
      </c>
      <c r="C94" s="17">
        <f>START_HERE!$G$7</f>
        <v>53</v>
      </c>
      <c r="D94" s="14">
        <f t="shared" si="8"/>
        <v>7770645.5999999996</v>
      </c>
      <c r="E94" s="14">
        <f t="shared" si="9"/>
        <v>1973190</v>
      </c>
      <c r="F94" s="14">
        <f>START_HERE!$G$9+START_HERE!$G$10</f>
        <v>2521000</v>
      </c>
      <c r="G94" s="14">
        <f t="shared" si="10"/>
        <v>3276455.5999999996</v>
      </c>
      <c r="H94" s="18">
        <f t="shared" si="11"/>
        <v>0.42164522340331667</v>
      </c>
      <c r="I94" t="str">
        <f>IF(G94&lt;0,"Below break even",IF(H94&lt;START_HERE!$B$19,"Profitable but below target","At or above target"))</f>
        <v>At or above target</v>
      </c>
    </row>
    <row r="95" spans="1:9" x14ac:dyDescent="0.3">
      <c r="A95" s="13">
        <v>103</v>
      </c>
      <c r="B95" s="17">
        <f>START_HERE!$G$6</f>
        <v>208.72</v>
      </c>
      <c r="C95" s="17">
        <f>START_HERE!$G$7</f>
        <v>53</v>
      </c>
      <c r="D95" s="14">
        <f t="shared" si="8"/>
        <v>7846828.4000000004</v>
      </c>
      <c r="E95" s="14">
        <f t="shared" si="9"/>
        <v>1992535</v>
      </c>
      <c r="F95" s="14">
        <f>START_HERE!$G$9+START_HERE!$G$10</f>
        <v>2521000</v>
      </c>
      <c r="G95" s="14">
        <f t="shared" si="10"/>
        <v>3333293.4000000004</v>
      </c>
      <c r="H95" s="18">
        <f t="shared" si="11"/>
        <v>0.42479499105651403</v>
      </c>
      <c r="I95" t="str">
        <f>IF(G95&lt;0,"Below break even",IF(H95&lt;START_HERE!$B$19,"Profitable but below target","At or above target"))</f>
        <v>At or above target</v>
      </c>
    </row>
    <row r="96" spans="1:9" x14ac:dyDescent="0.3">
      <c r="A96" s="13">
        <v>104</v>
      </c>
      <c r="B96" s="17">
        <f>START_HERE!$G$6</f>
        <v>208.72</v>
      </c>
      <c r="C96" s="17">
        <f>START_HERE!$G$7</f>
        <v>53</v>
      </c>
      <c r="D96" s="14">
        <f t="shared" si="8"/>
        <v>7923011.2000000002</v>
      </c>
      <c r="E96" s="14">
        <f t="shared" si="9"/>
        <v>2011880</v>
      </c>
      <c r="F96" s="14">
        <f>START_HERE!$G$9+START_HERE!$G$10</f>
        <v>2521000</v>
      </c>
      <c r="G96" s="14">
        <f t="shared" si="10"/>
        <v>3390131.2</v>
      </c>
      <c r="H96" s="18">
        <f t="shared" si="11"/>
        <v>0.42788418625484209</v>
      </c>
      <c r="I96" t="str">
        <f>IF(G96&lt;0,"Below break even",IF(H96&lt;START_HERE!$B$19,"Profitable but below target","At or above target"))</f>
        <v>At or above target</v>
      </c>
    </row>
    <row r="97" spans="1:9" x14ac:dyDescent="0.3">
      <c r="A97" s="13">
        <v>105</v>
      </c>
      <c r="B97" s="17">
        <f>START_HERE!$G$6</f>
        <v>208.72</v>
      </c>
      <c r="C97" s="17">
        <f>START_HERE!$G$7</f>
        <v>53</v>
      </c>
      <c r="D97" s="14">
        <f t="shared" si="8"/>
        <v>7999193.9999999991</v>
      </c>
      <c r="E97" s="14">
        <f t="shared" si="9"/>
        <v>2031225</v>
      </c>
      <c r="F97" s="14">
        <f>START_HERE!$G$9+START_HERE!$G$10</f>
        <v>2521000</v>
      </c>
      <c r="G97" s="14">
        <f t="shared" si="10"/>
        <v>3446968.9999999991</v>
      </c>
      <c r="H97" s="18">
        <f t="shared" si="11"/>
        <v>0.43091453963986864</v>
      </c>
      <c r="I97" t="str">
        <f>IF(G97&lt;0,"Below break even",IF(H97&lt;START_HERE!$B$19,"Profitable but below target","At or above target"))</f>
        <v>At or above target</v>
      </c>
    </row>
    <row r="98" spans="1:9" x14ac:dyDescent="0.3">
      <c r="A98" s="13">
        <v>106</v>
      </c>
      <c r="B98" s="17">
        <f>START_HERE!$G$6</f>
        <v>208.72</v>
      </c>
      <c r="C98" s="17">
        <f>START_HERE!$G$7</f>
        <v>53</v>
      </c>
      <c r="D98" s="14">
        <f t="shared" ref="D98:D129" si="12">A98*B98*365</f>
        <v>8075376.7999999998</v>
      </c>
      <c r="E98" s="14">
        <f t="shared" ref="E98:E129" si="13">A98*C98*365</f>
        <v>2050570</v>
      </c>
      <c r="F98" s="14">
        <f>START_HERE!$G$9+START_HERE!$G$10</f>
        <v>2521000</v>
      </c>
      <c r="G98" s="14">
        <f t="shared" ref="G98:G129" si="14">D98-E98-F98</f>
        <v>3503806.8</v>
      </c>
      <c r="H98" s="18">
        <f t="shared" ref="H98:H129" si="15">IF(D98=0,0,G98/D98)</f>
        <v>0.43388771654593256</v>
      </c>
      <c r="I98" t="str">
        <f>IF(G98&lt;0,"Below break even",IF(H98&lt;START_HERE!$B$19,"Profitable but below target","At or above target"))</f>
        <v>At or above target</v>
      </c>
    </row>
    <row r="99" spans="1:9" x14ac:dyDescent="0.3">
      <c r="A99" s="13">
        <v>107</v>
      </c>
      <c r="B99" s="17">
        <f>START_HERE!$G$6</f>
        <v>208.72</v>
      </c>
      <c r="C99" s="17">
        <f>START_HERE!$G$7</f>
        <v>53</v>
      </c>
      <c r="D99" s="14">
        <f t="shared" si="12"/>
        <v>8151559.6000000006</v>
      </c>
      <c r="E99" s="14">
        <f t="shared" si="13"/>
        <v>2069915</v>
      </c>
      <c r="F99" s="14">
        <f>START_HERE!$G$9+START_HERE!$G$10</f>
        <v>2521000</v>
      </c>
      <c r="G99" s="14">
        <f t="shared" si="14"/>
        <v>3560644.6000000006</v>
      </c>
      <c r="H99" s="18">
        <f t="shared" si="15"/>
        <v>0.43680532005188311</v>
      </c>
      <c r="I99" t="str">
        <f>IF(G99&lt;0,"Below break even",IF(H99&lt;START_HERE!$B$19,"Profitable but below target","At or above target"))</f>
        <v>At or above target</v>
      </c>
    </row>
    <row r="100" spans="1:9" x14ac:dyDescent="0.3">
      <c r="A100" s="13">
        <v>108</v>
      </c>
      <c r="B100" s="17">
        <f>START_HERE!$G$6</f>
        <v>208.72</v>
      </c>
      <c r="C100" s="17">
        <f>START_HERE!$G$7</f>
        <v>53</v>
      </c>
      <c r="D100" s="14">
        <f t="shared" si="12"/>
        <v>8227742.3999999994</v>
      </c>
      <c r="E100" s="14">
        <f t="shared" si="13"/>
        <v>2089260</v>
      </c>
      <c r="F100" s="14">
        <f>START_HERE!$G$9+START_HERE!$G$10</f>
        <v>2521000</v>
      </c>
      <c r="G100" s="14">
        <f t="shared" si="14"/>
        <v>3617482.3999999994</v>
      </c>
      <c r="H100" s="18">
        <f t="shared" si="15"/>
        <v>0.4396688938632789</v>
      </c>
      <c r="I100" t="str">
        <f>IF(G100&lt;0,"Below break even",IF(H100&lt;START_HERE!$B$19,"Profitable but below target","At or above target"))</f>
        <v>At or above target</v>
      </c>
    </row>
    <row r="101" spans="1:9" x14ac:dyDescent="0.3">
      <c r="A101" s="13">
        <v>109</v>
      </c>
      <c r="B101" s="17">
        <f>START_HERE!$G$6</f>
        <v>208.72</v>
      </c>
      <c r="C101" s="17">
        <f>START_HERE!$G$7</f>
        <v>53</v>
      </c>
      <c r="D101" s="14">
        <f t="shared" si="12"/>
        <v>8303925.2000000002</v>
      </c>
      <c r="E101" s="14">
        <f t="shared" si="13"/>
        <v>2108605</v>
      </c>
      <c r="F101" s="14">
        <f>START_HERE!$G$9+START_HERE!$G$10</f>
        <v>2521000</v>
      </c>
      <c r="G101" s="14">
        <f t="shared" si="14"/>
        <v>3674320.2</v>
      </c>
      <c r="H101" s="18">
        <f t="shared" si="15"/>
        <v>0.44247992503593364</v>
      </c>
      <c r="I101" t="str">
        <f>IF(G101&lt;0,"Below break even",IF(H101&lt;START_HERE!$B$19,"Profitable but below target","At or above target"))</f>
        <v>At or above target</v>
      </c>
    </row>
    <row r="102" spans="1:9" x14ac:dyDescent="0.3">
      <c r="A102" s="13">
        <v>110</v>
      </c>
      <c r="B102" s="17">
        <f>START_HERE!$G$6</f>
        <v>208.72</v>
      </c>
      <c r="C102" s="17">
        <f>START_HERE!$G$7</f>
        <v>53</v>
      </c>
      <c r="D102" s="14">
        <f t="shared" si="12"/>
        <v>8380108</v>
      </c>
      <c r="E102" s="14">
        <f t="shared" si="13"/>
        <v>2127950</v>
      </c>
      <c r="F102" s="14">
        <f>START_HERE!$G$9+START_HERE!$G$10</f>
        <v>2521000</v>
      </c>
      <c r="G102" s="14">
        <f t="shared" si="14"/>
        <v>3731158</v>
      </c>
      <c r="H102" s="18">
        <f t="shared" si="15"/>
        <v>0.44523984655090365</v>
      </c>
      <c r="I102" t="str">
        <f>IF(G102&lt;0,"Below break even",IF(H102&lt;START_HERE!$B$19,"Profitable but below target","At or above target"))</f>
        <v>At or above target</v>
      </c>
    </row>
    <row r="103" spans="1:9" x14ac:dyDescent="0.3">
      <c r="A103" s="13">
        <v>111</v>
      </c>
      <c r="B103" s="17">
        <f>START_HERE!$G$6</f>
        <v>208.72</v>
      </c>
      <c r="C103" s="17">
        <f>START_HERE!$G$7</f>
        <v>53</v>
      </c>
      <c r="D103" s="14">
        <f t="shared" si="12"/>
        <v>8456290.7999999989</v>
      </c>
      <c r="E103" s="14">
        <f t="shared" si="13"/>
        <v>2147295</v>
      </c>
      <c r="F103" s="14">
        <f>START_HERE!$G$9+START_HERE!$G$10</f>
        <v>2521000</v>
      </c>
      <c r="G103" s="14">
        <f t="shared" si="14"/>
        <v>3787995.7999999989</v>
      </c>
      <c r="H103" s="18">
        <f t="shared" si="15"/>
        <v>0.44795003975028858</v>
      </c>
      <c r="I103" t="str">
        <f>IF(G103&lt;0,"Below break even",IF(H103&lt;START_HERE!$B$19,"Profitable but below target","At or above target"))</f>
        <v>At or above target</v>
      </c>
    </row>
    <row r="104" spans="1:9" x14ac:dyDescent="0.3">
      <c r="A104" s="13">
        <v>112</v>
      </c>
      <c r="B104" s="17">
        <f>START_HERE!$G$6</f>
        <v>208.72</v>
      </c>
      <c r="C104" s="17">
        <f>START_HERE!$G$7</f>
        <v>53</v>
      </c>
      <c r="D104" s="14">
        <f t="shared" si="12"/>
        <v>8532473.5999999996</v>
      </c>
      <c r="E104" s="14">
        <f t="shared" si="13"/>
        <v>2166640</v>
      </c>
      <c r="F104" s="14">
        <f>START_HERE!$G$9+START_HERE!$G$10</f>
        <v>2521000</v>
      </c>
      <c r="G104" s="14">
        <f t="shared" si="14"/>
        <v>3844833.5999999996</v>
      </c>
      <c r="H104" s="18">
        <f t="shared" si="15"/>
        <v>0.45061183664254173</v>
      </c>
      <c r="I104" t="str">
        <f>IF(G104&lt;0,"Below break even",IF(H104&lt;START_HERE!$B$19,"Profitable but below target","At or above target"))</f>
        <v>At or above target</v>
      </c>
    </row>
    <row r="105" spans="1:9" x14ac:dyDescent="0.3">
      <c r="A105" s="13">
        <v>113</v>
      </c>
      <c r="B105" s="17">
        <f>START_HERE!$G$6</f>
        <v>208.72</v>
      </c>
      <c r="C105" s="17">
        <f>START_HERE!$G$7</f>
        <v>53</v>
      </c>
      <c r="D105" s="14">
        <f t="shared" si="12"/>
        <v>8608656.4000000004</v>
      </c>
      <c r="E105" s="14">
        <f t="shared" si="13"/>
        <v>2185985</v>
      </c>
      <c r="F105" s="14">
        <f>START_HERE!$G$9+START_HERE!$G$10</f>
        <v>2521000</v>
      </c>
      <c r="G105" s="14">
        <f t="shared" si="14"/>
        <v>3901671.4000000004</v>
      </c>
      <c r="H105" s="18">
        <f t="shared" si="15"/>
        <v>0.45322652208537445</v>
      </c>
      <c r="I105" t="str">
        <f>IF(G105&lt;0,"Below break even",IF(H105&lt;START_HERE!$B$19,"Profitable but below target","At or above target"))</f>
        <v>At or above target</v>
      </c>
    </row>
    <row r="106" spans="1:9" x14ac:dyDescent="0.3">
      <c r="A106" s="13">
        <v>114</v>
      </c>
      <c r="B106" s="17">
        <f>START_HERE!$G$6</f>
        <v>208.72</v>
      </c>
      <c r="C106" s="17">
        <f>START_HERE!$G$7</f>
        <v>53</v>
      </c>
      <c r="D106" s="14">
        <f t="shared" si="12"/>
        <v>8684839.1999999993</v>
      </c>
      <c r="E106" s="14">
        <f t="shared" si="13"/>
        <v>2205330</v>
      </c>
      <c r="F106" s="14">
        <f>START_HERE!$G$9+START_HERE!$G$10</f>
        <v>2521000</v>
      </c>
      <c r="G106" s="14">
        <f t="shared" si="14"/>
        <v>3958509.1999999993</v>
      </c>
      <c r="H106" s="18">
        <f t="shared" si="15"/>
        <v>0.45579533585377141</v>
      </c>
      <c r="I106" t="str">
        <f>IF(G106&lt;0,"Below break even",IF(H106&lt;START_HERE!$B$19,"Profitable but below target","At or above target"))</f>
        <v>At or above target</v>
      </c>
    </row>
    <row r="107" spans="1:9" x14ac:dyDescent="0.3">
      <c r="A107" s="13">
        <v>115</v>
      </c>
      <c r="B107" s="17">
        <f>START_HERE!$G$6</f>
        <v>208.72</v>
      </c>
      <c r="C107" s="17">
        <f>START_HERE!$G$7</f>
        <v>53</v>
      </c>
      <c r="D107" s="14">
        <f t="shared" si="12"/>
        <v>8761022</v>
      </c>
      <c r="E107" s="14">
        <f t="shared" si="13"/>
        <v>2224675</v>
      </c>
      <c r="F107" s="14">
        <f>START_HERE!$G$9+START_HERE!$G$10</f>
        <v>2521000</v>
      </c>
      <c r="G107" s="14">
        <f t="shared" si="14"/>
        <v>4015347</v>
      </c>
      <c r="H107" s="18">
        <f t="shared" si="15"/>
        <v>0.45831947460010947</v>
      </c>
      <c r="I107" t="str">
        <f>IF(G107&lt;0,"Below break even",IF(H107&lt;START_HERE!$B$19,"Profitable but below target","At or above target"))</f>
        <v>At or above target</v>
      </c>
    </row>
    <row r="108" spans="1:9" x14ac:dyDescent="0.3">
      <c r="A108" s="13">
        <v>116</v>
      </c>
      <c r="B108" s="17">
        <f>START_HERE!$G$6</f>
        <v>208.72</v>
      </c>
      <c r="C108" s="17">
        <f>START_HERE!$G$7</f>
        <v>53</v>
      </c>
      <c r="D108" s="14">
        <f t="shared" si="12"/>
        <v>8837204.8000000007</v>
      </c>
      <c r="E108" s="14">
        <f t="shared" si="13"/>
        <v>2244020</v>
      </c>
      <c r="F108" s="14">
        <f>START_HERE!$G$9+START_HERE!$G$10</f>
        <v>2521000</v>
      </c>
      <c r="G108" s="14">
        <f t="shared" si="14"/>
        <v>4072184.8000000007</v>
      </c>
      <c r="H108" s="18">
        <f t="shared" si="15"/>
        <v>0.46080009371288988</v>
      </c>
      <c r="I108" t="str">
        <f>IF(G108&lt;0,"Below break even",IF(H108&lt;START_HERE!$B$19,"Profitable but below target","At or above target"))</f>
        <v>At or above target</v>
      </c>
    </row>
    <row r="109" spans="1:9" x14ac:dyDescent="0.3">
      <c r="A109" s="13">
        <v>117</v>
      </c>
      <c r="B109" s="17">
        <f>START_HERE!$G$6</f>
        <v>208.72</v>
      </c>
      <c r="C109" s="17">
        <f>START_HERE!$G$7</f>
        <v>53</v>
      </c>
      <c r="D109" s="14">
        <f t="shared" si="12"/>
        <v>8913387.6000000015</v>
      </c>
      <c r="E109" s="14">
        <f t="shared" si="13"/>
        <v>2263365</v>
      </c>
      <c r="F109" s="14">
        <f>START_HERE!$G$9+START_HERE!$G$10</f>
        <v>2521000</v>
      </c>
      <c r="G109" s="14">
        <f t="shared" si="14"/>
        <v>4129022.6000000015</v>
      </c>
      <c r="H109" s="18">
        <f t="shared" si="15"/>
        <v>0.46323830908015273</v>
      </c>
      <c r="I109" t="str">
        <f>IF(G109&lt;0,"Below break even",IF(H109&lt;START_HERE!$B$19,"Profitable but below target","At or above target"))</f>
        <v>At or above target</v>
      </c>
    </row>
    <row r="110" spans="1:9" x14ac:dyDescent="0.3">
      <c r="A110" s="13">
        <v>118</v>
      </c>
      <c r="B110" s="17">
        <f>START_HERE!$G$6</f>
        <v>208.72</v>
      </c>
      <c r="C110" s="17">
        <f>START_HERE!$G$7</f>
        <v>53</v>
      </c>
      <c r="D110" s="14">
        <f t="shared" si="12"/>
        <v>8989570.4000000004</v>
      </c>
      <c r="E110" s="14">
        <f t="shared" si="13"/>
        <v>2282710</v>
      </c>
      <c r="F110" s="14">
        <f>START_HERE!$G$9+START_HERE!$G$10</f>
        <v>2521000</v>
      </c>
      <c r="G110" s="14">
        <f t="shared" si="14"/>
        <v>4185860.4000000004</v>
      </c>
      <c r="H110" s="18">
        <f t="shared" si="15"/>
        <v>0.46563519876322457</v>
      </c>
      <c r="I110" t="str">
        <f>IF(G110&lt;0,"Below break even",IF(H110&lt;START_HERE!$B$19,"Profitable but below target","At or above target"))</f>
        <v>At or above target</v>
      </c>
    </row>
    <row r="111" spans="1:9" x14ac:dyDescent="0.3">
      <c r="A111" s="13">
        <v>119</v>
      </c>
      <c r="B111" s="17">
        <f>START_HERE!$G$6</f>
        <v>208.72</v>
      </c>
      <c r="C111" s="17">
        <f>START_HERE!$G$7</f>
        <v>53</v>
      </c>
      <c r="D111" s="14">
        <f t="shared" si="12"/>
        <v>9065753.1999999993</v>
      </c>
      <c r="E111" s="14">
        <f t="shared" si="13"/>
        <v>2302055</v>
      </c>
      <c r="F111" s="14">
        <f>START_HERE!$G$9+START_HERE!$G$10</f>
        <v>2521000</v>
      </c>
      <c r="G111" s="14">
        <f t="shared" si="14"/>
        <v>4242698.1999999993</v>
      </c>
      <c r="H111" s="18">
        <f t="shared" si="15"/>
        <v>0.4679918045860767</v>
      </c>
      <c r="I111" t="str">
        <f>IF(G111&lt;0,"Below break even",IF(H111&lt;START_HERE!$B$19,"Profitable but below target","At or above target"))</f>
        <v>At or above target</v>
      </c>
    </row>
    <row r="112" spans="1:9" x14ac:dyDescent="0.3">
      <c r="A112" s="13">
        <v>120</v>
      </c>
      <c r="B112" s="17">
        <f>START_HERE!$G$6</f>
        <v>208.72</v>
      </c>
      <c r="C112" s="17">
        <f>START_HERE!$G$7</f>
        <v>53</v>
      </c>
      <c r="D112" s="14">
        <f t="shared" si="12"/>
        <v>9141936</v>
      </c>
      <c r="E112" s="14">
        <f t="shared" si="13"/>
        <v>2321400</v>
      </c>
      <c r="F112" s="14">
        <f>START_HERE!$G$9+START_HERE!$G$10</f>
        <v>2521000</v>
      </c>
      <c r="G112" s="14">
        <f t="shared" si="14"/>
        <v>4299536</v>
      </c>
      <c r="H112" s="18">
        <f t="shared" si="15"/>
        <v>0.47030913364521476</v>
      </c>
      <c r="I112" t="str">
        <f>IF(G112&lt;0,"Below break even",IF(H112&lt;START_HERE!$B$19,"Profitable but below target","At or above target"))</f>
        <v>At or above target</v>
      </c>
    </row>
    <row r="113" spans="1:9" x14ac:dyDescent="0.3">
      <c r="A113" s="13">
        <v>121</v>
      </c>
      <c r="B113" s="17">
        <f>START_HERE!$G$6</f>
        <v>208.72</v>
      </c>
      <c r="C113" s="17">
        <f>START_HERE!$G$7</f>
        <v>53</v>
      </c>
      <c r="D113" s="14">
        <f t="shared" si="12"/>
        <v>9218118.7999999989</v>
      </c>
      <c r="E113" s="14">
        <f t="shared" si="13"/>
        <v>2340745</v>
      </c>
      <c r="F113" s="14">
        <f>START_HERE!$G$9+START_HERE!$G$10</f>
        <v>2521000</v>
      </c>
      <c r="G113" s="14">
        <f t="shared" si="14"/>
        <v>4356373.7999999989</v>
      </c>
      <c r="H113" s="18">
        <f t="shared" si="15"/>
        <v>0.47258815974469753</v>
      </c>
      <c r="I113" t="str">
        <f>IF(G113&lt;0,"Below break even",IF(H113&lt;START_HERE!$B$19,"Profitable but below target","At or above target"))</f>
        <v>At or above target</v>
      </c>
    </row>
    <row r="114" spans="1:9" x14ac:dyDescent="0.3">
      <c r="A114" s="13">
        <v>122</v>
      </c>
      <c r="B114" s="17">
        <f>START_HERE!$G$6</f>
        <v>208.72</v>
      </c>
      <c r="C114" s="17">
        <f>START_HERE!$G$7</f>
        <v>53</v>
      </c>
      <c r="D114" s="14">
        <f t="shared" si="12"/>
        <v>9294301.5999999996</v>
      </c>
      <c r="E114" s="14">
        <f t="shared" si="13"/>
        <v>2360090</v>
      </c>
      <c r="F114" s="14">
        <f>START_HERE!$G$9+START_HERE!$G$10</f>
        <v>2521000</v>
      </c>
      <c r="G114" s="14">
        <f t="shared" si="14"/>
        <v>4413211.5999999996</v>
      </c>
      <c r="H114" s="18">
        <f t="shared" si="15"/>
        <v>0.47482982476058233</v>
      </c>
      <c r="I114" t="str">
        <f>IF(G114&lt;0,"Below break even",IF(H114&lt;START_HERE!$B$19,"Profitable but below target","At or above target"))</f>
        <v>At or above target</v>
      </c>
    </row>
    <row r="115" spans="1:9" x14ac:dyDescent="0.3">
      <c r="A115" s="13">
        <v>123</v>
      </c>
      <c r="B115" s="17">
        <f>START_HERE!$G$6</f>
        <v>208.72</v>
      </c>
      <c r="C115" s="17">
        <f>START_HERE!$G$7</f>
        <v>53</v>
      </c>
      <c r="D115" s="14">
        <f t="shared" si="12"/>
        <v>9370484.4000000004</v>
      </c>
      <c r="E115" s="14">
        <f t="shared" si="13"/>
        <v>2379435</v>
      </c>
      <c r="F115" s="14">
        <f>START_HERE!$G$9+START_HERE!$G$10</f>
        <v>2521000</v>
      </c>
      <c r="G115" s="14">
        <f t="shared" si="14"/>
        <v>4470049.4000000004</v>
      </c>
      <c r="H115" s="18">
        <f t="shared" si="15"/>
        <v>0.47703503993881047</v>
      </c>
      <c r="I115" t="str">
        <f>IF(G115&lt;0,"Below break even",IF(H115&lt;START_HERE!$B$19,"Profitable but below target","At or above target"))</f>
        <v>At or above target</v>
      </c>
    </row>
    <row r="116" spans="1:9" x14ac:dyDescent="0.3">
      <c r="A116" s="13">
        <v>124</v>
      </c>
      <c r="B116" s="17">
        <f>START_HERE!$G$6</f>
        <v>208.72</v>
      </c>
      <c r="C116" s="17">
        <f>START_HERE!$G$7</f>
        <v>53</v>
      </c>
      <c r="D116" s="14">
        <f t="shared" si="12"/>
        <v>9446667.1999999993</v>
      </c>
      <c r="E116" s="14">
        <f t="shared" si="13"/>
        <v>2398780</v>
      </c>
      <c r="F116" s="14">
        <f>START_HERE!$G$9+START_HERE!$G$10</f>
        <v>2521000</v>
      </c>
      <c r="G116" s="14">
        <f t="shared" si="14"/>
        <v>4526887.1999999993</v>
      </c>
      <c r="H116" s="18">
        <f t="shared" si="15"/>
        <v>0.47920468713029285</v>
      </c>
      <c r="I116" t="str">
        <f>IF(G116&lt;0,"Below break even",IF(H116&lt;START_HERE!$B$19,"Profitable but below target","At or above target"))</f>
        <v>At or above target</v>
      </c>
    </row>
    <row r="117" spans="1:9" x14ac:dyDescent="0.3">
      <c r="A117" s="13">
        <v>125</v>
      </c>
      <c r="B117" s="17">
        <f>START_HERE!$G$6</f>
        <v>208.72</v>
      </c>
      <c r="C117" s="17">
        <f>START_HERE!$G$7</f>
        <v>53</v>
      </c>
      <c r="D117" s="14">
        <f t="shared" si="12"/>
        <v>9522850</v>
      </c>
      <c r="E117" s="14">
        <f t="shared" si="13"/>
        <v>2418125</v>
      </c>
      <c r="F117" s="14">
        <f>START_HERE!$G$9+START_HERE!$G$10</f>
        <v>2521000</v>
      </c>
      <c r="G117" s="14">
        <f t="shared" si="14"/>
        <v>4583725</v>
      </c>
      <c r="H117" s="18">
        <f t="shared" si="15"/>
        <v>0.48133961996671165</v>
      </c>
      <c r="I117" t="str">
        <f>IF(G117&lt;0,"Below break even",IF(H117&lt;START_HERE!$B$19,"Profitable but below target","At or above target"))</f>
        <v>At or above target</v>
      </c>
    </row>
    <row r="118" spans="1:9" x14ac:dyDescent="0.3">
      <c r="A118" s="13">
        <v>126</v>
      </c>
      <c r="B118" s="17">
        <f>START_HERE!$G$6</f>
        <v>208.72</v>
      </c>
      <c r="C118" s="17">
        <f>START_HERE!$G$7</f>
        <v>53</v>
      </c>
      <c r="D118" s="14">
        <f t="shared" si="12"/>
        <v>9599032.8000000007</v>
      </c>
      <c r="E118" s="14">
        <f t="shared" si="13"/>
        <v>2437470</v>
      </c>
      <c r="F118" s="14">
        <f>START_HERE!$G$9+START_HERE!$G$10</f>
        <v>2521000</v>
      </c>
      <c r="G118" s="14">
        <f t="shared" si="14"/>
        <v>4640562.8000000007</v>
      </c>
      <c r="H118" s="18">
        <f t="shared" si="15"/>
        <v>0.48344066498033011</v>
      </c>
      <c r="I118" t="str">
        <f>IF(G118&lt;0,"Below break even",IF(H118&lt;START_HERE!$B$19,"Profitable but below target","At or above target"))</f>
        <v>At or above target</v>
      </c>
    </row>
    <row r="119" spans="1:9" x14ac:dyDescent="0.3">
      <c r="A119" s="13">
        <v>127</v>
      </c>
      <c r="B119" s="17">
        <f>START_HERE!$G$6</f>
        <v>208.72</v>
      </c>
      <c r="C119" s="17">
        <f>START_HERE!$G$7</f>
        <v>53</v>
      </c>
      <c r="D119" s="14">
        <f t="shared" si="12"/>
        <v>9675215.5999999996</v>
      </c>
      <c r="E119" s="14">
        <f t="shared" si="13"/>
        <v>2456815</v>
      </c>
      <c r="F119" s="14">
        <f>START_HERE!$G$9+START_HERE!$G$10</f>
        <v>2521000</v>
      </c>
      <c r="G119" s="14">
        <f t="shared" si="14"/>
        <v>4697400.5999999996</v>
      </c>
      <c r="H119" s="18">
        <f t="shared" si="15"/>
        <v>0.48550862267089945</v>
      </c>
      <c r="I119" t="str">
        <f>IF(G119&lt;0,"Below break even",IF(H119&lt;START_HERE!$B$19,"Profitable but below target","At or above target"))</f>
        <v>At or above target</v>
      </c>
    </row>
    <row r="120" spans="1:9" x14ac:dyDescent="0.3">
      <c r="A120" s="13">
        <v>128</v>
      </c>
      <c r="B120" s="17">
        <f>START_HERE!$G$6</f>
        <v>208.72</v>
      </c>
      <c r="C120" s="17">
        <f>START_HERE!$G$7</f>
        <v>53</v>
      </c>
      <c r="D120" s="14">
        <f t="shared" si="12"/>
        <v>9751398.4000000004</v>
      </c>
      <c r="E120" s="14">
        <f t="shared" si="13"/>
        <v>2476160</v>
      </c>
      <c r="F120" s="14">
        <f>START_HERE!$G$9+START_HERE!$G$10</f>
        <v>2521000</v>
      </c>
      <c r="G120" s="14">
        <f t="shared" si="14"/>
        <v>4754238.4000000004</v>
      </c>
      <c r="H120" s="18">
        <f t="shared" si="15"/>
        <v>0.48754426852255367</v>
      </c>
      <c r="I120" t="str">
        <f>IF(G120&lt;0,"Below break even",IF(H120&lt;START_HERE!$B$19,"Profitable but below target","At or above target"))</f>
        <v>At or above target</v>
      </c>
    </row>
    <row r="121" spans="1:9" x14ac:dyDescent="0.3">
      <c r="A121" s="13">
        <v>129</v>
      </c>
      <c r="B121" s="17">
        <f>START_HERE!$G$6</f>
        <v>208.72</v>
      </c>
      <c r="C121" s="17">
        <f>START_HERE!$G$7</f>
        <v>53</v>
      </c>
      <c r="D121" s="14">
        <f t="shared" si="12"/>
        <v>9827581.2000000011</v>
      </c>
      <c r="E121" s="14">
        <f t="shared" si="13"/>
        <v>2495505</v>
      </c>
      <c r="F121" s="14">
        <f>START_HERE!$G$9+START_HERE!$G$10</f>
        <v>2521000</v>
      </c>
      <c r="G121" s="14">
        <f t="shared" si="14"/>
        <v>4811076.2000000011</v>
      </c>
      <c r="H121" s="18">
        <f t="shared" si="15"/>
        <v>0.48954835397340707</v>
      </c>
      <c r="I121" t="str">
        <f>IF(G121&lt;0,"Below break even",IF(H121&lt;START_HERE!$B$19,"Profitable but below target","At or above target"))</f>
        <v>At or above target</v>
      </c>
    </row>
    <row r="122" spans="1:9" x14ac:dyDescent="0.3">
      <c r="A122" s="13">
        <v>130</v>
      </c>
      <c r="B122" s="17">
        <f>START_HERE!$G$6</f>
        <v>208.72</v>
      </c>
      <c r="C122" s="17">
        <f>START_HERE!$G$7</f>
        <v>53</v>
      </c>
      <c r="D122" s="14">
        <f t="shared" si="12"/>
        <v>9903764</v>
      </c>
      <c r="E122" s="14">
        <f t="shared" si="13"/>
        <v>2514850</v>
      </c>
      <c r="F122" s="14">
        <f>START_HERE!$G$9+START_HERE!$G$10</f>
        <v>2521000</v>
      </c>
      <c r="G122" s="14">
        <f t="shared" si="14"/>
        <v>4867914</v>
      </c>
      <c r="H122" s="18">
        <f t="shared" si="15"/>
        <v>0.49152160734040107</v>
      </c>
      <c r="I122" t="str">
        <f>IF(G122&lt;0,"Below break even",IF(H122&lt;START_HERE!$B$19,"Profitable but below target","At or above target"))</f>
        <v>At or above target</v>
      </c>
    </row>
    <row r="123" spans="1:9" x14ac:dyDescent="0.3">
      <c r="A123" s="13">
        <v>131</v>
      </c>
      <c r="B123" s="17">
        <f>START_HERE!$G$6</f>
        <v>208.72</v>
      </c>
      <c r="C123" s="17">
        <f>START_HERE!$G$7</f>
        <v>53</v>
      </c>
      <c r="D123" s="14">
        <f t="shared" si="12"/>
        <v>9979946.8000000007</v>
      </c>
      <c r="E123" s="14">
        <f t="shared" si="13"/>
        <v>2534195</v>
      </c>
      <c r="F123" s="14">
        <f>START_HERE!$G$9+START_HERE!$G$10</f>
        <v>2521000</v>
      </c>
      <c r="G123" s="14">
        <f t="shared" si="14"/>
        <v>4924751.8000000007</v>
      </c>
      <c r="H123" s="18">
        <f t="shared" si="15"/>
        <v>0.49346473470179225</v>
      </c>
      <c r="I123" t="str">
        <f>IF(G123&lt;0,"Below break even",IF(H123&lt;START_HERE!$B$19,"Profitable but below target","At or above target"))</f>
        <v>At or above target</v>
      </c>
    </row>
    <row r="124" spans="1:9" x14ac:dyDescent="0.3">
      <c r="A124" s="13">
        <v>132</v>
      </c>
      <c r="B124" s="17">
        <f>START_HERE!$G$6</f>
        <v>208.72</v>
      </c>
      <c r="C124" s="17">
        <f>START_HERE!$G$7</f>
        <v>53</v>
      </c>
      <c r="D124" s="14">
        <f t="shared" si="12"/>
        <v>10056129.6</v>
      </c>
      <c r="E124" s="14">
        <f t="shared" si="13"/>
        <v>2553540</v>
      </c>
      <c r="F124" s="14">
        <f>START_HERE!$G$9+START_HERE!$G$10</f>
        <v>2521000</v>
      </c>
      <c r="G124" s="14">
        <f t="shared" si="14"/>
        <v>4981589.5999999996</v>
      </c>
      <c r="H124" s="18">
        <f t="shared" si="15"/>
        <v>0.49537842073952587</v>
      </c>
      <c r="I124" t="str">
        <f>IF(G124&lt;0,"Below break even",IF(H124&lt;START_HERE!$B$19,"Profitable but below target","At or above target"))</f>
        <v>At or above target</v>
      </c>
    </row>
    <row r="125" spans="1:9" x14ac:dyDescent="0.3">
      <c r="A125" s="13">
        <v>133</v>
      </c>
      <c r="B125" s="17">
        <f>START_HERE!$G$6</f>
        <v>208.72</v>
      </c>
      <c r="C125" s="17">
        <f>START_HERE!$G$7</f>
        <v>53</v>
      </c>
      <c r="D125" s="14">
        <f t="shared" si="12"/>
        <v>10132312.399999999</v>
      </c>
      <c r="E125" s="14">
        <f t="shared" si="13"/>
        <v>2572885</v>
      </c>
      <c r="F125" s="14">
        <f>START_HERE!$G$9+START_HERE!$G$10</f>
        <v>2521000</v>
      </c>
      <c r="G125" s="14">
        <f t="shared" si="14"/>
        <v>5038427.3999999985</v>
      </c>
      <c r="H125" s="18">
        <f t="shared" si="15"/>
        <v>0.49726332954360936</v>
      </c>
      <c r="I125" t="str">
        <f>IF(G125&lt;0,"Below break even",IF(H125&lt;START_HERE!$B$19,"Profitable but below target","At or above target"))</f>
        <v>At or above target</v>
      </c>
    </row>
    <row r="126" spans="1:9" x14ac:dyDescent="0.3">
      <c r="A126" s="13">
        <v>134</v>
      </c>
      <c r="B126" s="17">
        <f>START_HERE!$G$6</f>
        <v>208.72</v>
      </c>
      <c r="C126" s="17">
        <f>START_HERE!$G$7</f>
        <v>53</v>
      </c>
      <c r="D126" s="14">
        <f t="shared" si="12"/>
        <v>10208495.199999999</v>
      </c>
      <c r="E126" s="14">
        <f t="shared" si="13"/>
        <v>2592230</v>
      </c>
      <c r="F126" s="14">
        <f>START_HERE!$G$9+START_HERE!$G$10</f>
        <v>2521000</v>
      </c>
      <c r="G126" s="14">
        <f t="shared" si="14"/>
        <v>5095265.1999999993</v>
      </c>
      <c r="H126" s="18">
        <f t="shared" si="15"/>
        <v>0.4991201053804678</v>
      </c>
      <c r="I126" t="str">
        <f>IF(G126&lt;0,"Below break even",IF(H126&lt;START_HERE!$B$19,"Profitable but below target","At or above target"))</f>
        <v>At or above target</v>
      </c>
    </row>
    <row r="127" spans="1:9" x14ac:dyDescent="0.3">
      <c r="A127" s="13">
        <v>135</v>
      </c>
      <c r="B127" s="17">
        <f>START_HERE!$G$6</f>
        <v>208.72</v>
      </c>
      <c r="C127" s="17">
        <f>START_HERE!$G$7</f>
        <v>53</v>
      </c>
      <c r="D127" s="14">
        <f t="shared" si="12"/>
        <v>10284678</v>
      </c>
      <c r="E127" s="14">
        <f t="shared" si="13"/>
        <v>2611575</v>
      </c>
      <c r="F127" s="14">
        <f>START_HERE!$G$9+START_HERE!$G$10</f>
        <v>2521000</v>
      </c>
      <c r="G127" s="14">
        <f t="shared" si="14"/>
        <v>5152103</v>
      </c>
      <c r="H127" s="18">
        <f t="shared" si="15"/>
        <v>0.50094937342715051</v>
      </c>
      <c r="I127" t="str">
        <f>IF(G127&lt;0,"Below break even",IF(H127&lt;START_HERE!$B$19,"Profitable but below target","At or above target"))</f>
        <v>At or above target</v>
      </c>
    </row>
    <row r="128" spans="1:9" x14ac:dyDescent="0.3">
      <c r="A128" s="13">
        <v>136</v>
      </c>
      <c r="B128" s="17">
        <f>START_HERE!$G$6</f>
        <v>208.72</v>
      </c>
      <c r="C128" s="17">
        <f>START_HERE!$G$7</f>
        <v>53</v>
      </c>
      <c r="D128" s="14">
        <f t="shared" si="12"/>
        <v>10360860.799999999</v>
      </c>
      <c r="E128" s="14">
        <f t="shared" si="13"/>
        <v>2630920</v>
      </c>
      <c r="F128" s="14">
        <f>START_HERE!$G$9+START_HERE!$G$10</f>
        <v>2521000</v>
      </c>
      <c r="G128" s="14">
        <f t="shared" si="14"/>
        <v>5208940.7999999989</v>
      </c>
      <c r="H128" s="18">
        <f t="shared" si="15"/>
        <v>0.50275174047314675</v>
      </c>
      <c r="I128" t="str">
        <f>IF(G128&lt;0,"Below break even",IF(H128&lt;START_HERE!$B$19,"Profitable but below target","At or above target"))</f>
        <v>At or above target</v>
      </c>
    </row>
    <row r="129" spans="1:9" x14ac:dyDescent="0.3">
      <c r="A129" s="13">
        <v>137</v>
      </c>
      <c r="B129" s="17">
        <f>START_HERE!$G$6</f>
        <v>208.72</v>
      </c>
      <c r="C129" s="17">
        <f>START_HERE!$G$7</f>
        <v>53</v>
      </c>
      <c r="D129" s="14">
        <f t="shared" si="12"/>
        <v>10437043.6</v>
      </c>
      <c r="E129" s="14">
        <f t="shared" si="13"/>
        <v>2650265</v>
      </c>
      <c r="F129" s="14">
        <f>START_HERE!$G$9+START_HERE!$G$10</f>
        <v>2521000</v>
      </c>
      <c r="G129" s="14">
        <f t="shared" si="14"/>
        <v>5265778.5999999996</v>
      </c>
      <c r="H129" s="18">
        <f t="shared" si="15"/>
        <v>0.50452779559146421</v>
      </c>
      <c r="I129" t="str">
        <f>IF(G129&lt;0,"Below break even",IF(H129&lt;START_HERE!$B$19,"Profitable but below target","At or above target"))</f>
        <v>At or above target</v>
      </c>
    </row>
    <row r="130" spans="1:9" x14ac:dyDescent="0.3">
      <c r="A130" s="13">
        <v>138</v>
      </c>
      <c r="B130" s="17">
        <f>START_HERE!$G$6</f>
        <v>208.72</v>
      </c>
      <c r="C130" s="17">
        <f>START_HERE!$G$7</f>
        <v>53</v>
      </c>
      <c r="D130" s="14">
        <f t="shared" ref="D130:D161" si="16">A130*B130*365</f>
        <v>10513226.4</v>
      </c>
      <c r="E130" s="14">
        <f t="shared" ref="E130:E161" si="17">A130*C130*365</f>
        <v>2669610</v>
      </c>
      <c r="F130" s="14">
        <f>START_HERE!$G$9+START_HERE!$G$10</f>
        <v>2521000</v>
      </c>
      <c r="G130" s="14">
        <f t="shared" ref="G130:G161" si="18">D130-E130-F130</f>
        <v>5322616.4000000004</v>
      </c>
      <c r="H130" s="18">
        <f t="shared" ref="H130:H161" si="19">IF(D130=0,0,G130/D130)</f>
        <v>0.50627811078053075</v>
      </c>
      <c r="I130" t="str">
        <f>IF(G130&lt;0,"Below break even",IF(H130&lt;START_HERE!$B$19,"Profitable but below target","At or above target"))</f>
        <v>At or above target</v>
      </c>
    </row>
    <row r="131" spans="1:9" x14ac:dyDescent="0.3">
      <c r="A131" s="13">
        <v>139</v>
      </c>
      <c r="B131" s="17">
        <f>START_HERE!$G$6</f>
        <v>208.72</v>
      </c>
      <c r="C131" s="17">
        <f>START_HERE!$G$7</f>
        <v>53</v>
      </c>
      <c r="D131" s="14">
        <f t="shared" si="16"/>
        <v>10589409.199999999</v>
      </c>
      <c r="E131" s="14">
        <f t="shared" si="17"/>
        <v>2688955</v>
      </c>
      <c r="F131" s="14">
        <f>START_HERE!$G$9+START_HERE!$G$10</f>
        <v>2521000</v>
      </c>
      <c r="G131" s="14">
        <f t="shared" si="18"/>
        <v>5379454.1999999993</v>
      </c>
      <c r="H131" s="18">
        <f t="shared" si="19"/>
        <v>0.5080032415783875</v>
      </c>
      <c r="I131" t="str">
        <f>IF(G131&lt;0,"Below break even",IF(H131&lt;START_HERE!$B$19,"Profitable but below target","At or above target"))</f>
        <v>At or above target</v>
      </c>
    </row>
    <row r="132" spans="1:9" x14ac:dyDescent="0.3">
      <c r="A132" s="13">
        <v>140</v>
      </c>
      <c r="B132" s="17">
        <f>START_HERE!$G$6</f>
        <v>208.72</v>
      </c>
      <c r="C132" s="17">
        <f>START_HERE!$G$7</f>
        <v>53</v>
      </c>
      <c r="D132" s="14">
        <f t="shared" si="16"/>
        <v>10665592</v>
      </c>
      <c r="E132" s="14">
        <f t="shared" si="17"/>
        <v>2708300</v>
      </c>
      <c r="F132" s="14">
        <f>START_HERE!$G$9+START_HERE!$G$10</f>
        <v>2521000</v>
      </c>
      <c r="G132" s="14">
        <f t="shared" si="18"/>
        <v>5436292</v>
      </c>
      <c r="H132" s="18">
        <f t="shared" si="19"/>
        <v>0.50970372765056082</v>
      </c>
      <c r="I132" t="str">
        <f>IF(G132&lt;0,"Below break even",IF(H132&lt;START_HERE!$B$19,"Profitable but below target","At or above target"))</f>
        <v>At or above target</v>
      </c>
    </row>
    <row r="133" spans="1:9" x14ac:dyDescent="0.3">
      <c r="A133" s="13">
        <v>141</v>
      </c>
      <c r="B133" s="17">
        <f>START_HERE!$G$6</f>
        <v>208.72</v>
      </c>
      <c r="C133" s="17">
        <f>START_HERE!$G$7</f>
        <v>53</v>
      </c>
      <c r="D133" s="14">
        <f t="shared" si="16"/>
        <v>10741774.800000001</v>
      </c>
      <c r="E133" s="14">
        <f t="shared" si="17"/>
        <v>2727645</v>
      </c>
      <c r="F133" s="14">
        <f>START_HERE!$G$9+START_HERE!$G$10</f>
        <v>2521000</v>
      </c>
      <c r="G133" s="14">
        <f t="shared" si="18"/>
        <v>5493129.8000000007</v>
      </c>
      <c r="H133" s="18">
        <f t="shared" si="19"/>
        <v>0.51138009335291601</v>
      </c>
      <c r="I133" t="str">
        <f>IF(G133&lt;0,"Below break even",IF(H133&lt;START_HERE!$B$19,"Profitable but below target","At or above target"))</f>
        <v>At or above target</v>
      </c>
    </row>
    <row r="134" spans="1:9" x14ac:dyDescent="0.3">
      <c r="A134" s="13">
        <v>142</v>
      </c>
      <c r="B134" s="17">
        <f>START_HERE!$G$6</f>
        <v>208.72</v>
      </c>
      <c r="C134" s="17">
        <f>START_HERE!$G$7</f>
        <v>53</v>
      </c>
      <c r="D134" s="14">
        <f t="shared" si="16"/>
        <v>10817957.600000001</v>
      </c>
      <c r="E134" s="14">
        <f t="shared" si="17"/>
        <v>2746990</v>
      </c>
      <c r="F134" s="14">
        <f>START_HERE!$G$9+START_HERE!$G$10</f>
        <v>2521000</v>
      </c>
      <c r="G134" s="14">
        <f t="shared" si="18"/>
        <v>5549967.6000000015</v>
      </c>
      <c r="H134" s="18">
        <f t="shared" si="19"/>
        <v>0.51303284827073092</v>
      </c>
      <c r="I134" t="str">
        <f>IF(G134&lt;0,"Below break even",IF(H134&lt;START_HERE!$B$19,"Profitable but below target","At or above target"))</f>
        <v>At or above target</v>
      </c>
    </row>
    <row r="135" spans="1:9" x14ac:dyDescent="0.3">
      <c r="A135" s="13">
        <v>143</v>
      </c>
      <c r="B135" s="17">
        <f>START_HERE!$G$6</f>
        <v>208.72</v>
      </c>
      <c r="C135" s="17">
        <f>START_HERE!$G$7</f>
        <v>53</v>
      </c>
      <c r="D135" s="14">
        <f t="shared" si="16"/>
        <v>10894140.4</v>
      </c>
      <c r="E135" s="14">
        <f t="shared" si="17"/>
        <v>2766335</v>
      </c>
      <c r="F135" s="14">
        <f>START_HERE!$G$9+START_HERE!$G$10</f>
        <v>2521000</v>
      </c>
      <c r="G135" s="14">
        <f t="shared" si="18"/>
        <v>5606805.4000000004</v>
      </c>
      <c r="H135" s="18">
        <f t="shared" si="19"/>
        <v>0.51466248773514978</v>
      </c>
      <c r="I135" t="str">
        <f>IF(G135&lt;0,"Below break even",IF(H135&lt;START_HERE!$B$19,"Profitable but below target","At or above target"))</f>
        <v>At or above target</v>
      </c>
    </row>
    <row r="136" spans="1:9" x14ac:dyDescent="0.3">
      <c r="A136" s="13">
        <v>144</v>
      </c>
      <c r="B136" s="17">
        <f>START_HERE!$G$6</f>
        <v>208.72</v>
      </c>
      <c r="C136" s="17">
        <f>START_HERE!$G$7</f>
        <v>53</v>
      </c>
      <c r="D136" s="14">
        <f t="shared" si="16"/>
        <v>10970323.199999999</v>
      </c>
      <c r="E136" s="14">
        <f t="shared" si="17"/>
        <v>2785680</v>
      </c>
      <c r="F136" s="14">
        <f>START_HERE!$G$9+START_HERE!$G$10</f>
        <v>2521000</v>
      </c>
      <c r="G136" s="14">
        <f t="shared" si="18"/>
        <v>5663643.1999999993</v>
      </c>
      <c r="H136" s="18">
        <f t="shared" si="19"/>
        <v>0.51626949331811844</v>
      </c>
      <c r="I136" t="str">
        <f>IF(G136&lt;0,"Below break even",IF(H136&lt;START_HERE!$B$19,"Profitable but below target","At or above target"))</f>
        <v>At or above target</v>
      </c>
    </row>
    <row r="137" spans="1:9" x14ac:dyDescent="0.3">
      <c r="A137" s="13">
        <v>145</v>
      </c>
      <c r="B137" s="17">
        <f>START_HERE!$G$6</f>
        <v>208.72</v>
      </c>
      <c r="C137" s="17">
        <f>START_HERE!$G$7</f>
        <v>53</v>
      </c>
      <c r="D137" s="14">
        <f t="shared" si="16"/>
        <v>11046506</v>
      </c>
      <c r="E137" s="14">
        <f t="shared" si="17"/>
        <v>2805025</v>
      </c>
      <c r="F137" s="14">
        <f>START_HERE!$G$9+START_HERE!$G$10</f>
        <v>2521000</v>
      </c>
      <c r="G137" s="14">
        <f t="shared" si="18"/>
        <v>5720481</v>
      </c>
      <c r="H137" s="18">
        <f t="shared" si="19"/>
        <v>0.51785433330683928</v>
      </c>
      <c r="I137" t="str">
        <f>IF(G137&lt;0,"Below break even",IF(H137&lt;START_HERE!$B$19,"Profitable but below target","At or above target"))</f>
        <v>At or above target</v>
      </c>
    </row>
    <row r="138" spans="1:9" x14ac:dyDescent="0.3">
      <c r="A138" s="13">
        <v>146</v>
      </c>
      <c r="B138" s="17">
        <f>START_HERE!$G$6</f>
        <v>208.72</v>
      </c>
      <c r="C138" s="17">
        <f>START_HERE!$G$7</f>
        <v>53</v>
      </c>
      <c r="D138" s="14">
        <f t="shared" si="16"/>
        <v>11122688.799999999</v>
      </c>
      <c r="E138" s="14">
        <f t="shared" si="17"/>
        <v>2824370</v>
      </c>
      <c r="F138" s="14">
        <f>START_HERE!$G$9+START_HERE!$G$10</f>
        <v>2521000</v>
      </c>
      <c r="G138" s="14">
        <f t="shared" si="18"/>
        <v>5777318.7999999989</v>
      </c>
      <c r="H138" s="18">
        <f t="shared" si="19"/>
        <v>0.51941746315872828</v>
      </c>
      <c r="I138" t="str">
        <f>IF(G138&lt;0,"Below break even",IF(H138&lt;START_HERE!$B$19,"Profitable but below target","At or above target"))</f>
        <v>At or above target</v>
      </c>
    </row>
    <row r="139" spans="1:9" x14ac:dyDescent="0.3">
      <c r="A139" s="13">
        <v>147</v>
      </c>
      <c r="B139" s="17">
        <f>START_HERE!$G$6</f>
        <v>208.72</v>
      </c>
      <c r="C139" s="17">
        <f>START_HERE!$G$7</f>
        <v>53</v>
      </c>
      <c r="D139" s="14">
        <f t="shared" si="16"/>
        <v>11198871.6</v>
      </c>
      <c r="E139" s="14">
        <f t="shared" si="17"/>
        <v>2843715</v>
      </c>
      <c r="F139" s="14">
        <f>START_HERE!$G$9+START_HERE!$G$10</f>
        <v>2521000</v>
      </c>
      <c r="G139" s="14">
        <f t="shared" si="18"/>
        <v>5834156.5999999996</v>
      </c>
      <c r="H139" s="18">
        <f t="shared" si="19"/>
        <v>0.52095932593780248</v>
      </c>
      <c r="I139" t="str">
        <f>IF(G139&lt;0,"Below break even",IF(H139&lt;START_HERE!$B$19,"Profitable but below target","At or above target"))</f>
        <v>At or above target</v>
      </c>
    </row>
    <row r="140" spans="1:9" x14ac:dyDescent="0.3">
      <c r="A140" s="13">
        <v>148</v>
      </c>
      <c r="B140" s="17">
        <f>START_HERE!$G$6</f>
        <v>208.72</v>
      </c>
      <c r="C140" s="17">
        <f>START_HERE!$G$7</f>
        <v>53</v>
      </c>
      <c r="D140" s="14">
        <f t="shared" si="16"/>
        <v>11275054.4</v>
      </c>
      <c r="E140" s="14">
        <f t="shared" si="17"/>
        <v>2863060</v>
      </c>
      <c r="F140" s="14">
        <f>START_HERE!$G$9+START_HERE!$G$10</f>
        <v>2521000</v>
      </c>
      <c r="G140" s="14">
        <f t="shared" si="18"/>
        <v>5890994.4000000004</v>
      </c>
      <c r="H140" s="18">
        <f t="shared" si="19"/>
        <v>0.52248035273337579</v>
      </c>
      <c r="I140" t="str">
        <f>IF(G140&lt;0,"Below break even",IF(H140&lt;START_HERE!$B$19,"Profitable but below target","At or above target"))</f>
        <v>At or above target</v>
      </c>
    </row>
    <row r="141" spans="1:9" x14ac:dyDescent="0.3">
      <c r="A141" s="13">
        <v>149</v>
      </c>
      <c r="B141" s="17">
        <f>START_HERE!$G$6</f>
        <v>208.72</v>
      </c>
      <c r="C141" s="17">
        <f>START_HERE!$G$7</f>
        <v>53</v>
      </c>
      <c r="D141" s="14">
        <f t="shared" si="16"/>
        <v>11351237.199999999</v>
      </c>
      <c r="E141" s="14">
        <f t="shared" si="17"/>
        <v>2882405</v>
      </c>
      <c r="F141" s="14">
        <f>START_HERE!$G$9+START_HERE!$G$10</f>
        <v>2521000</v>
      </c>
      <c r="G141" s="14">
        <f t="shared" si="18"/>
        <v>5947832.1999999993</v>
      </c>
      <c r="H141" s="18">
        <f t="shared" si="19"/>
        <v>0.52398096306189423</v>
      </c>
      <c r="I141" t="str">
        <f>IF(G141&lt;0,"Below break even",IF(H141&lt;START_HERE!$B$19,"Profitable but below target","At or above target"))</f>
        <v>At or above target</v>
      </c>
    </row>
    <row r="142" spans="1:9" x14ac:dyDescent="0.3">
      <c r="A142" s="13">
        <v>150</v>
      </c>
      <c r="B142" s="17">
        <f>START_HERE!$G$6</f>
        <v>208.72</v>
      </c>
      <c r="C142" s="17">
        <f>START_HERE!$G$7</f>
        <v>53</v>
      </c>
      <c r="D142" s="14">
        <f t="shared" si="16"/>
        <v>11427420</v>
      </c>
      <c r="E142" s="14">
        <f t="shared" si="17"/>
        <v>2901750</v>
      </c>
      <c r="F142" s="14">
        <f>START_HERE!$G$9+START_HERE!$G$10</f>
        <v>2521000</v>
      </c>
      <c r="G142" s="14">
        <f t="shared" si="18"/>
        <v>6004670</v>
      </c>
      <c r="H142" s="18">
        <f t="shared" si="19"/>
        <v>0.52546156525269916</v>
      </c>
      <c r="I142" t="str">
        <f>IF(G142&lt;0,"Below break even",IF(H142&lt;START_HERE!$B$19,"Profitable but below target","At or above target"))</f>
        <v>At or above target</v>
      </c>
    </row>
    <row r="143" spans="1:9" x14ac:dyDescent="0.3">
      <c r="A143" s="13">
        <v>151</v>
      </c>
      <c r="B143" s="17">
        <f>START_HERE!$G$6</f>
        <v>208.72</v>
      </c>
      <c r="C143" s="17">
        <f>START_HERE!$G$7</f>
        <v>53</v>
      </c>
      <c r="D143" s="14">
        <f t="shared" si="16"/>
        <v>11503602.800000001</v>
      </c>
      <c r="E143" s="14">
        <f t="shared" si="17"/>
        <v>2921095</v>
      </c>
      <c r="F143" s="14">
        <f>START_HERE!$G$9+START_HERE!$G$10</f>
        <v>2521000</v>
      </c>
      <c r="G143" s="14">
        <f t="shared" si="18"/>
        <v>6061507.8000000007</v>
      </c>
      <c r="H143" s="18">
        <f t="shared" si="19"/>
        <v>0.52692255681846045</v>
      </c>
      <c r="I143" t="str">
        <f>IF(G143&lt;0,"Below break even",IF(H143&lt;START_HERE!$B$19,"Profitable but below target","At or above target"))</f>
        <v>At or above target</v>
      </c>
    </row>
    <row r="144" spans="1:9" x14ac:dyDescent="0.3">
      <c r="A144" s="13">
        <v>152</v>
      </c>
      <c r="B144" s="17">
        <f>START_HERE!$G$6</f>
        <v>208.72</v>
      </c>
      <c r="C144" s="17">
        <f>START_HERE!$G$7</f>
        <v>53</v>
      </c>
      <c r="D144" s="14">
        <f t="shared" si="16"/>
        <v>11579785.6</v>
      </c>
      <c r="E144" s="14">
        <f t="shared" si="17"/>
        <v>2940440</v>
      </c>
      <c r="F144" s="14">
        <f>START_HERE!$G$9+START_HERE!$G$10</f>
        <v>2521000</v>
      </c>
      <c r="G144" s="14">
        <f t="shared" si="18"/>
        <v>6118345.5999999996</v>
      </c>
      <c r="H144" s="18">
        <f t="shared" si="19"/>
        <v>0.52836432481098783</v>
      </c>
      <c r="I144" t="str">
        <f>IF(G144&lt;0,"Below break even",IF(H144&lt;START_HERE!$B$19,"Profitable but below target","At or above target"))</f>
        <v>At or above target</v>
      </c>
    </row>
    <row r="145" spans="1:9" x14ac:dyDescent="0.3">
      <c r="A145" s="13">
        <v>153</v>
      </c>
      <c r="B145" s="17">
        <f>START_HERE!$G$6</f>
        <v>208.72</v>
      </c>
      <c r="C145" s="17">
        <f>START_HERE!$G$7</f>
        <v>53</v>
      </c>
      <c r="D145" s="14">
        <f t="shared" si="16"/>
        <v>11655968.4</v>
      </c>
      <c r="E145" s="14">
        <f t="shared" si="17"/>
        <v>2959785</v>
      </c>
      <c r="F145" s="14">
        <f>START_HERE!$G$9+START_HERE!$G$10</f>
        <v>2521000</v>
      </c>
      <c r="G145" s="14">
        <f t="shared" si="18"/>
        <v>6175183.4000000004</v>
      </c>
      <c r="H145" s="18">
        <f t="shared" si="19"/>
        <v>0.52978724616309014</v>
      </c>
      <c r="I145" t="str">
        <f>IF(G145&lt;0,"Below break even",IF(H145&lt;START_HERE!$B$19,"Profitable but below target","At or above target"))</f>
        <v>At or above target</v>
      </c>
    </row>
    <row r="146" spans="1:9" x14ac:dyDescent="0.3">
      <c r="A146" s="13">
        <v>154</v>
      </c>
      <c r="B146" s="17">
        <f>START_HERE!$G$6</f>
        <v>208.72</v>
      </c>
      <c r="C146" s="17">
        <f>START_HERE!$G$7</f>
        <v>53</v>
      </c>
      <c r="D146" s="14">
        <f t="shared" si="16"/>
        <v>11732151.200000001</v>
      </c>
      <c r="E146" s="14">
        <f t="shared" si="17"/>
        <v>2979130</v>
      </c>
      <c r="F146" s="14">
        <f>START_HERE!$G$9+START_HERE!$G$10</f>
        <v>2521000</v>
      </c>
      <c r="G146" s="14">
        <f t="shared" si="18"/>
        <v>6232021.2000000011</v>
      </c>
      <c r="H146" s="18">
        <f t="shared" si="19"/>
        <v>0.53119168801711325</v>
      </c>
      <c r="I146" t="str">
        <f>IF(G146&lt;0,"Below break even",IF(H146&lt;START_HERE!$B$19,"Profitable but below target","At or above target"))</f>
        <v>At or above target</v>
      </c>
    </row>
    <row r="147" spans="1:9" x14ac:dyDescent="0.3">
      <c r="A147" s="13">
        <v>155</v>
      </c>
      <c r="B147" s="17">
        <f>START_HERE!$G$6</f>
        <v>208.72</v>
      </c>
      <c r="C147" s="17">
        <f>START_HERE!$G$7</f>
        <v>53</v>
      </c>
      <c r="D147" s="14">
        <f t="shared" si="16"/>
        <v>11808334</v>
      </c>
      <c r="E147" s="14">
        <f t="shared" si="17"/>
        <v>2998475</v>
      </c>
      <c r="F147" s="14">
        <f>START_HERE!$G$9+START_HERE!$G$10</f>
        <v>2521000</v>
      </c>
      <c r="G147" s="14">
        <f t="shared" si="18"/>
        <v>6288859</v>
      </c>
      <c r="H147" s="18">
        <f t="shared" si="19"/>
        <v>0.53257800804076172</v>
      </c>
      <c r="I147" t="str">
        <f>IF(G147&lt;0,"Below break even",IF(H147&lt;START_HERE!$B$19,"Profitable but below target","At or above target"))</f>
        <v>At or above target</v>
      </c>
    </row>
    <row r="148" spans="1:9" x14ac:dyDescent="0.3">
      <c r="A148" s="13">
        <v>156</v>
      </c>
      <c r="B148" s="17">
        <f>START_HERE!$G$6</f>
        <v>208.72</v>
      </c>
      <c r="C148" s="17">
        <f>START_HERE!$G$7</f>
        <v>53</v>
      </c>
      <c r="D148" s="14">
        <f t="shared" si="16"/>
        <v>11884516.800000001</v>
      </c>
      <c r="E148" s="14">
        <f t="shared" si="17"/>
        <v>3017820</v>
      </c>
      <c r="F148" s="14">
        <f>START_HERE!$G$9+START_HERE!$G$10</f>
        <v>2521000</v>
      </c>
      <c r="G148" s="14">
        <f t="shared" si="18"/>
        <v>6345696.8000000007</v>
      </c>
      <c r="H148" s="18">
        <f t="shared" si="19"/>
        <v>0.53394655473077379</v>
      </c>
      <c r="I148" t="str">
        <f>IF(G148&lt;0,"Below break even",IF(H148&lt;START_HERE!$B$19,"Profitable but below target","At or above target"))</f>
        <v>At or above target</v>
      </c>
    </row>
    <row r="149" spans="1:9" x14ac:dyDescent="0.3">
      <c r="A149" s="13">
        <v>157</v>
      </c>
      <c r="B149" s="17">
        <f>START_HERE!$G$6</f>
        <v>208.72</v>
      </c>
      <c r="C149" s="17">
        <f>START_HERE!$G$7</f>
        <v>53</v>
      </c>
      <c r="D149" s="14">
        <f t="shared" si="16"/>
        <v>11960699.6</v>
      </c>
      <c r="E149" s="14">
        <f t="shared" si="17"/>
        <v>3037165</v>
      </c>
      <c r="F149" s="14">
        <f>START_HERE!$G$9+START_HERE!$G$10</f>
        <v>2521000</v>
      </c>
      <c r="G149" s="14">
        <f t="shared" si="18"/>
        <v>6402534.5999999996</v>
      </c>
      <c r="H149" s="18">
        <f t="shared" si="19"/>
        <v>0.53529766770498943</v>
      </c>
      <c r="I149" t="str">
        <f>IF(G149&lt;0,"Below break even",IF(H149&lt;START_HERE!$B$19,"Profitable but below target","At or above target"))</f>
        <v>At or above target</v>
      </c>
    </row>
    <row r="150" spans="1:9" x14ac:dyDescent="0.3">
      <c r="A150" s="13">
        <v>158</v>
      </c>
      <c r="B150" s="17">
        <f>START_HERE!$G$6</f>
        <v>208.72</v>
      </c>
      <c r="C150" s="17">
        <f>START_HERE!$G$7</f>
        <v>53</v>
      </c>
      <c r="D150" s="14">
        <f t="shared" si="16"/>
        <v>12036882.4</v>
      </c>
      <c r="E150" s="14">
        <f t="shared" si="17"/>
        <v>3056510</v>
      </c>
      <c r="F150" s="14">
        <f>START_HERE!$G$9+START_HERE!$G$10</f>
        <v>2521000</v>
      </c>
      <c r="G150" s="14">
        <f t="shared" si="18"/>
        <v>6459372.4000000004</v>
      </c>
      <c r="H150" s="18">
        <f t="shared" si="19"/>
        <v>0.536631677983329</v>
      </c>
      <c r="I150" t="str">
        <f>IF(G150&lt;0,"Below break even",IF(H150&lt;START_HERE!$B$19,"Profitable but below target","At or above target"))</f>
        <v>At or above target</v>
      </c>
    </row>
    <row r="151" spans="1:9" x14ac:dyDescent="0.3">
      <c r="A151" s="13">
        <v>159</v>
      </c>
      <c r="B151" s="17">
        <f>START_HERE!$G$6</f>
        <v>208.72</v>
      </c>
      <c r="C151" s="17">
        <f>START_HERE!$G$7</f>
        <v>53</v>
      </c>
      <c r="D151" s="14">
        <f t="shared" si="16"/>
        <v>12113065.200000001</v>
      </c>
      <c r="E151" s="14">
        <f t="shared" si="17"/>
        <v>3075855</v>
      </c>
      <c r="F151" s="14">
        <f>START_HERE!$G$9+START_HERE!$G$10</f>
        <v>2521000</v>
      </c>
      <c r="G151" s="14">
        <f t="shared" si="18"/>
        <v>6516210.2000000011</v>
      </c>
      <c r="H151" s="18">
        <f t="shared" si="19"/>
        <v>0.53794890825816744</v>
      </c>
      <c r="I151" t="str">
        <f>IF(G151&lt;0,"Below break even",IF(H151&lt;START_HERE!$B$19,"Profitable but below target","At or above target"))</f>
        <v>At or above target</v>
      </c>
    </row>
    <row r="152" spans="1:9" x14ac:dyDescent="0.3">
      <c r="A152" s="13">
        <v>160</v>
      </c>
      <c r="B152" s="17">
        <f>START_HERE!$G$6</f>
        <v>208.72</v>
      </c>
      <c r="C152" s="17">
        <f>START_HERE!$G$7</f>
        <v>53</v>
      </c>
      <c r="D152" s="14">
        <f t="shared" si="16"/>
        <v>12189247.999999998</v>
      </c>
      <c r="E152" s="14">
        <f t="shared" si="17"/>
        <v>3095200</v>
      </c>
      <c r="F152" s="14">
        <f>START_HERE!$G$9+START_HERE!$G$10</f>
        <v>2521000</v>
      </c>
      <c r="G152" s="14">
        <f t="shared" si="18"/>
        <v>6573047.9999999981</v>
      </c>
      <c r="H152" s="18">
        <f t="shared" si="19"/>
        <v>0.53924967315457029</v>
      </c>
      <c r="I152" t="str">
        <f>IF(G152&lt;0,"Below break even",IF(H152&lt;START_HERE!$B$19,"Profitable but below target","At or above target"))</f>
        <v>At or above target</v>
      </c>
    </row>
    <row r="153" spans="1:9" x14ac:dyDescent="0.3">
      <c r="A153" s="13">
        <v>161</v>
      </c>
      <c r="B153" s="17">
        <f>START_HERE!$G$6</f>
        <v>208.72</v>
      </c>
      <c r="C153" s="17">
        <f>START_HERE!$G$7</f>
        <v>53</v>
      </c>
      <c r="D153" s="14">
        <f t="shared" si="16"/>
        <v>12265430.799999999</v>
      </c>
      <c r="E153" s="14">
        <f t="shared" si="17"/>
        <v>3114545</v>
      </c>
      <c r="F153" s="14">
        <f>START_HERE!$G$9+START_HERE!$G$10</f>
        <v>2521000</v>
      </c>
      <c r="G153" s="14">
        <f t="shared" si="18"/>
        <v>6629885.7999999989</v>
      </c>
      <c r="H153" s="18">
        <f t="shared" si="19"/>
        <v>0.54053427948083155</v>
      </c>
      <c r="I153" t="str">
        <f>IF(G153&lt;0,"Below break even",IF(H153&lt;START_HERE!$B$19,"Profitable but below target","At or above target"))</f>
        <v>At or above target</v>
      </c>
    </row>
    <row r="154" spans="1:9" x14ac:dyDescent="0.3">
      <c r="A154" s="13">
        <v>162</v>
      </c>
      <c r="B154" s="17">
        <f>START_HERE!$G$6</f>
        <v>208.72</v>
      </c>
      <c r="C154" s="17">
        <f>START_HERE!$G$7</f>
        <v>53</v>
      </c>
      <c r="D154" s="14">
        <f t="shared" si="16"/>
        <v>12341613.6</v>
      </c>
      <c r="E154" s="14">
        <f t="shared" si="17"/>
        <v>3133890</v>
      </c>
      <c r="F154" s="14">
        <f>START_HERE!$G$9+START_HERE!$G$10</f>
        <v>2521000</v>
      </c>
      <c r="G154" s="14">
        <f t="shared" si="18"/>
        <v>6686723.5999999996</v>
      </c>
      <c r="H154" s="18">
        <f t="shared" si="19"/>
        <v>0.54180302646973166</v>
      </c>
      <c r="I154" t="str">
        <f>IF(G154&lt;0,"Below break even",IF(H154&lt;START_HERE!$B$19,"Profitable but below target","At or above target"))</f>
        <v>At or above target</v>
      </c>
    </row>
    <row r="155" spans="1:9" x14ac:dyDescent="0.3">
      <c r="A155" s="13">
        <v>163</v>
      </c>
      <c r="B155" s="17">
        <f>START_HERE!$G$6</f>
        <v>208.72</v>
      </c>
      <c r="C155" s="17">
        <f>START_HERE!$G$7</f>
        <v>53</v>
      </c>
      <c r="D155" s="14">
        <f t="shared" si="16"/>
        <v>12417796.4</v>
      </c>
      <c r="E155" s="14">
        <f t="shared" si="17"/>
        <v>3153235</v>
      </c>
      <c r="F155" s="14">
        <f>START_HERE!$G$9+START_HERE!$G$10</f>
        <v>2521000</v>
      </c>
      <c r="G155" s="14">
        <f t="shared" si="18"/>
        <v>6743561.4000000004</v>
      </c>
      <c r="H155" s="18">
        <f t="shared" si="19"/>
        <v>0.54305620601091509</v>
      </c>
      <c r="I155" t="str">
        <f>IF(G155&lt;0,"Below break even",IF(H155&lt;START_HERE!$B$19,"Profitable but below target","At or above target"))</f>
        <v>At or above target</v>
      </c>
    </row>
    <row r="156" spans="1:9" x14ac:dyDescent="0.3">
      <c r="A156" s="13">
        <v>164</v>
      </c>
      <c r="B156" s="17">
        <f>START_HERE!$G$6</f>
        <v>208.72</v>
      </c>
      <c r="C156" s="17">
        <f>START_HERE!$G$7</f>
        <v>53</v>
      </c>
      <c r="D156" s="14">
        <f t="shared" si="16"/>
        <v>12493979.200000001</v>
      </c>
      <c r="E156" s="14">
        <f t="shared" si="17"/>
        <v>3172580</v>
      </c>
      <c r="F156" s="14">
        <f>START_HERE!$G$9+START_HERE!$G$10</f>
        <v>2521000</v>
      </c>
      <c r="G156" s="14">
        <f t="shared" si="18"/>
        <v>6800399.2000000011</v>
      </c>
      <c r="H156" s="18">
        <f t="shared" si="19"/>
        <v>0.54429410287476709</v>
      </c>
      <c r="I156" t="str">
        <f>IF(G156&lt;0,"Below break even",IF(H156&lt;START_HERE!$B$19,"Profitable but below target","At or above target"))</f>
        <v>At or above target</v>
      </c>
    </row>
    <row r="157" spans="1:9" x14ac:dyDescent="0.3">
      <c r="A157" s="13">
        <v>165</v>
      </c>
      <c r="B157" s="17">
        <f>START_HERE!$G$6</f>
        <v>208.72</v>
      </c>
      <c r="C157" s="17">
        <f>START_HERE!$G$7</f>
        <v>53</v>
      </c>
      <c r="D157" s="14">
        <f t="shared" si="16"/>
        <v>12570162.000000002</v>
      </c>
      <c r="E157" s="14">
        <f t="shared" si="17"/>
        <v>3191925</v>
      </c>
      <c r="F157" s="14">
        <f>START_HERE!$G$9+START_HERE!$G$10</f>
        <v>2521000</v>
      </c>
      <c r="G157" s="14">
        <f t="shared" si="18"/>
        <v>6857237.0000000019</v>
      </c>
      <c r="H157" s="18">
        <f t="shared" si="19"/>
        <v>0.5455169949281482</v>
      </c>
      <c r="I157" t="str">
        <f>IF(G157&lt;0,"Below break even",IF(H157&lt;START_HERE!$B$19,"Profitable but below target","At or above target"))</f>
        <v>At or above target</v>
      </c>
    </row>
    <row r="158" spans="1:9" x14ac:dyDescent="0.3">
      <c r="A158" s="13">
        <v>166</v>
      </c>
      <c r="B158" s="17">
        <f>START_HERE!$G$6</f>
        <v>208.72</v>
      </c>
      <c r="C158" s="17">
        <f>START_HERE!$G$7</f>
        <v>53</v>
      </c>
      <c r="D158" s="14">
        <f t="shared" si="16"/>
        <v>12646344.799999999</v>
      </c>
      <c r="E158" s="14">
        <f t="shared" si="17"/>
        <v>3211270</v>
      </c>
      <c r="F158" s="14">
        <f>START_HERE!$G$9+START_HERE!$G$10</f>
        <v>2521000</v>
      </c>
      <c r="G158" s="14">
        <f t="shared" si="18"/>
        <v>6914074.7999999989</v>
      </c>
      <c r="H158" s="18">
        <f t="shared" si="19"/>
        <v>0.54672515334233174</v>
      </c>
      <c r="I158" t="str">
        <f>IF(G158&lt;0,"Below break even",IF(H158&lt;START_HERE!$B$19,"Profitable but below target","At or above target"))</f>
        <v>At or above target</v>
      </c>
    </row>
    <row r="159" spans="1:9" x14ac:dyDescent="0.3">
      <c r="A159" s="13">
        <v>167</v>
      </c>
      <c r="B159" s="17">
        <f>START_HERE!$G$6</f>
        <v>208.72</v>
      </c>
      <c r="C159" s="17">
        <f>START_HERE!$G$7</f>
        <v>53</v>
      </c>
      <c r="D159" s="14">
        <f t="shared" si="16"/>
        <v>12722527.6</v>
      </c>
      <c r="E159" s="14">
        <f t="shared" si="17"/>
        <v>3230615</v>
      </c>
      <c r="F159" s="14">
        <f>START_HERE!$G$9+START_HERE!$G$10</f>
        <v>2521000</v>
      </c>
      <c r="G159" s="14">
        <f t="shared" si="18"/>
        <v>6970912.5999999996</v>
      </c>
      <c r="H159" s="18">
        <f t="shared" si="19"/>
        <v>0.54791884279347136</v>
      </c>
      <c r="I159" t="str">
        <f>IF(G159&lt;0,"Below break even",IF(H159&lt;START_HERE!$B$19,"Profitable but below target","At or above target"))</f>
        <v>At or above target</v>
      </c>
    </row>
    <row r="160" spans="1:9" x14ac:dyDescent="0.3">
      <c r="A160" s="13">
        <v>168</v>
      </c>
      <c r="B160" s="17">
        <f>START_HERE!$G$6</f>
        <v>208.72</v>
      </c>
      <c r="C160" s="17">
        <f>START_HERE!$G$7</f>
        <v>53</v>
      </c>
      <c r="D160" s="14">
        <f t="shared" si="16"/>
        <v>12798710.4</v>
      </c>
      <c r="E160" s="14">
        <f t="shared" si="17"/>
        <v>3249960</v>
      </c>
      <c r="F160" s="14">
        <f>START_HERE!$G$9+START_HERE!$G$10</f>
        <v>2521000</v>
      </c>
      <c r="G160" s="14">
        <f t="shared" si="18"/>
        <v>7027750.4000000004</v>
      </c>
      <c r="H160" s="18">
        <f t="shared" si="19"/>
        <v>0.54909832165590688</v>
      </c>
      <c r="I160" t="str">
        <f>IF(G160&lt;0,"Below break even",IF(H160&lt;START_HERE!$B$19,"Profitable but below target","At or above target"))</f>
        <v>At or above target</v>
      </c>
    </row>
    <row r="161" spans="1:9" x14ac:dyDescent="0.3">
      <c r="A161" s="13">
        <v>169</v>
      </c>
      <c r="B161" s="17">
        <f>START_HERE!$G$6</f>
        <v>208.72</v>
      </c>
      <c r="C161" s="17">
        <f>START_HERE!$G$7</f>
        <v>53</v>
      </c>
      <c r="D161" s="14">
        <f t="shared" si="16"/>
        <v>12874893.199999999</v>
      </c>
      <c r="E161" s="14">
        <f t="shared" si="17"/>
        <v>3269305</v>
      </c>
      <c r="F161" s="14">
        <f>START_HERE!$G$9+START_HERE!$G$10</f>
        <v>2521000</v>
      </c>
      <c r="G161" s="14">
        <f t="shared" si="18"/>
        <v>7084588.1999999993</v>
      </c>
      <c r="H161" s="18">
        <f t="shared" si="19"/>
        <v>0.55026384218860935</v>
      </c>
      <c r="I161" t="str">
        <f>IF(G161&lt;0,"Below break even",IF(H161&lt;START_HERE!$B$19,"Profitable but below target","At or above target"))</f>
        <v>At or above target</v>
      </c>
    </row>
    <row r="162" spans="1:9" x14ac:dyDescent="0.3">
      <c r="A162" s="13">
        <v>170</v>
      </c>
      <c r="B162" s="17">
        <f>START_HERE!$G$6</f>
        <v>208.72</v>
      </c>
      <c r="C162" s="17">
        <f>START_HERE!$G$7</f>
        <v>53</v>
      </c>
      <c r="D162" s="14">
        <f t="shared" ref="D162:D192" si="20">A162*B162*365</f>
        <v>12951076</v>
      </c>
      <c r="E162" s="14">
        <f t="shared" ref="E162:E192" si="21">A162*C162*365</f>
        <v>3288650</v>
      </c>
      <c r="F162" s="14">
        <f>START_HERE!$G$9+START_HERE!$G$10</f>
        <v>2521000</v>
      </c>
      <c r="G162" s="14">
        <f t="shared" ref="G162:G193" si="22">D162-E162-F162</f>
        <v>7141426</v>
      </c>
      <c r="H162" s="18">
        <f t="shared" ref="H162:H193" si="23">IF(D162=0,0,G162/D162)</f>
        <v>0.55141565071504484</v>
      </c>
      <c r="I162" t="str">
        <f>IF(G162&lt;0,"Below break even",IF(H162&lt;START_HERE!$B$19,"Profitable but below target","At or above target"))</f>
        <v>At or above target</v>
      </c>
    </row>
    <row r="163" spans="1:9" x14ac:dyDescent="0.3">
      <c r="A163" s="13">
        <v>171</v>
      </c>
      <c r="B163" s="17">
        <f>START_HERE!$G$6</f>
        <v>208.72</v>
      </c>
      <c r="C163" s="17">
        <f>START_HERE!$G$7</f>
        <v>53</v>
      </c>
      <c r="D163" s="14">
        <f t="shared" si="20"/>
        <v>13027258.800000001</v>
      </c>
      <c r="E163" s="14">
        <f t="shared" si="21"/>
        <v>3307995</v>
      </c>
      <c r="F163" s="14">
        <f>START_HERE!$G$9+START_HERE!$G$10</f>
        <v>2521000</v>
      </c>
      <c r="G163" s="14">
        <f t="shared" si="22"/>
        <v>7198263.8000000007</v>
      </c>
      <c r="H163" s="18">
        <f t="shared" si="23"/>
        <v>0.55255398779672671</v>
      </c>
      <c r="I163" t="str">
        <f>IF(G163&lt;0,"Below break even",IF(H163&lt;START_HERE!$B$19,"Profitable but below target","At or above target"))</f>
        <v>At or above target</v>
      </c>
    </row>
    <row r="164" spans="1:9" x14ac:dyDescent="0.3">
      <c r="A164" s="13">
        <v>172</v>
      </c>
      <c r="B164" s="17">
        <f>START_HERE!$G$6</f>
        <v>208.72</v>
      </c>
      <c r="C164" s="17">
        <f>START_HERE!$G$7</f>
        <v>53</v>
      </c>
      <c r="D164" s="14">
        <f t="shared" si="20"/>
        <v>13103441.6</v>
      </c>
      <c r="E164" s="14">
        <f t="shared" si="21"/>
        <v>3327340</v>
      </c>
      <c r="F164" s="14">
        <f>START_HERE!$G$9+START_HERE!$G$10</f>
        <v>2521000</v>
      </c>
      <c r="G164" s="14">
        <f t="shared" si="22"/>
        <v>7255101.5999999996</v>
      </c>
      <c r="H164" s="18">
        <f t="shared" si="23"/>
        <v>0.55367908840071445</v>
      </c>
      <c r="I164" t="str">
        <f>IF(G164&lt;0,"Below break even",IF(H164&lt;START_HERE!$B$19,"Profitable but below target","At or above target"))</f>
        <v>At or above target</v>
      </c>
    </row>
    <row r="165" spans="1:9" x14ac:dyDescent="0.3">
      <c r="A165" s="13">
        <v>173</v>
      </c>
      <c r="B165" s="17">
        <f>START_HERE!$G$6</f>
        <v>208.72</v>
      </c>
      <c r="C165" s="17">
        <f>START_HERE!$G$7</f>
        <v>53</v>
      </c>
      <c r="D165" s="14">
        <f t="shared" si="20"/>
        <v>13179624.399999999</v>
      </c>
      <c r="E165" s="14">
        <f t="shared" si="21"/>
        <v>3346685</v>
      </c>
      <c r="F165" s="14">
        <f>START_HERE!$G$9+START_HERE!$G$10</f>
        <v>2521000</v>
      </c>
      <c r="G165" s="14">
        <f t="shared" si="22"/>
        <v>7311939.3999999985</v>
      </c>
      <c r="H165" s="18">
        <f t="shared" si="23"/>
        <v>0.55479118206130362</v>
      </c>
      <c r="I165" t="str">
        <f>IF(G165&lt;0,"Below break even",IF(H165&lt;START_HERE!$B$19,"Profitable but below target","At or above target"))</f>
        <v>At or above target</v>
      </c>
    </row>
    <row r="166" spans="1:9" x14ac:dyDescent="0.3">
      <c r="A166" s="13">
        <v>174</v>
      </c>
      <c r="B166" s="17">
        <f>START_HERE!$G$6</f>
        <v>208.72</v>
      </c>
      <c r="C166" s="17">
        <f>START_HERE!$G$7</f>
        <v>53</v>
      </c>
      <c r="D166" s="14">
        <f t="shared" si="20"/>
        <v>13255807.199999999</v>
      </c>
      <c r="E166" s="14">
        <f t="shared" si="21"/>
        <v>3366030</v>
      </c>
      <c r="F166" s="14">
        <f>START_HERE!$G$9+START_HERE!$G$10</f>
        <v>2521000</v>
      </c>
      <c r="G166" s="14">
        <f t="shared" si="22"/>
        <v>7368777.1999999993</v>
      </c>
      <c r="H166" s="18">
        <f t="shared" si="23"/>
        <v>0.55589049303613891</v>
      </c>
      <c r="I166" t="str">
        <f>IF(G166&lt;0,"Below break even",IF(H166&lt;START_HERE!$B$19,"Profitable but below target","At or above target"))</f>
        <v>At or above target</v>
      </c>
    </row>
    <row r="167" spans="1:9" x14ac:dyDescent="0.3">
      <c r="A167" s="13">
        <v>175</v>
      </c>
      <c r="B167" s="17">
        <f>START_HERE!$G$6</f>
        <v>208.72</v>
      </c>
      <c r="C167" s="17">
        <f>START_HERE!$G$7</f>
        <v>53</v>
      </c>
      <c r="D167" s="14">
        <f t="shared" si="20"/>
        <v>13331990</v>
      </c>
      <c r="E167" s="14">
        <f t="shared" si="21"/>
        <v>3385375</v>
      </c>
      <c r="F167" s="14">
        <f>START_HERE!$G$9+START_HERE!$G$10</f>
        <v>2521000</v>
      </c>
      <c r="G167" s="14">
        <f t="shared" si="22"/>
        <v>7425615</v>
      </c>
      <c r="H167" s="18">
        <f t="shared" si="23"/>
        <v>0.55697724045697605</v>
      </c>
      <c r="I167" t="str">
        <f>IF(G167&lt;0,"Below break even",IF(H167&lt;START_HERE!$B$19,"Profitable but below target","At or above target"))</f>
        <v>At or above target</v>
      </c>
    </row>
    <row r="168" spans="1:9" x14ac:dyDescent="0.3">
      <c r="A168" s="13">
        <v>176</v>
      </c>
      <c r="B168" s="17">
        <f>START_HERE!$G$6</f>
        <v>208.72</v>
      </c>
      <c r="C168" s="17">
        <f>START_HERE!$G$7</f>
        <v>53</v>
      </c>
      <c r="D168" s="14">
        <f t="shared" si="20"/>
        <v>13408172.800000001</v>
      </c>
      <c r="E168" s="14">
        <f t="shared" si="21"/>
        <v>3404720</v>
      </c>
      <c r="F168" s="14">
        <f>START_HERE!$G$9+START_HERE!$G$10</f>
        <v>2521000</v>
      </c>
      <c r="G168" s="14">
        <f t="shared" si="22"/>
        <v>7482452.8000000007</v>
      </c>
      <c r="H168" s="18">
        <f t="shared" si="23"/>
        <v>0.5580516384753037</v>
      </c>
      <c r="I168" t="str">
        <f>IF(G168&lt;0,"Below break even",IF(H168&lt;START_HERE!$B$19,"Profitable but below target","At or above target"))</f>
        <v>At or above target</v>
      </c>
    </row>
    <row r="169" spans="1:9" x14ac:dyDescent="0.3">
      <c r="A169" s="13">
        <v>177</v>
      </c>
      <c r="B169" s="17">
        <f>START_HERE!$G$6</f>
        <v>208.72</v>
      </c>
      <c r="C169" s="17">
        <f>START_HERE!$G$7</f>
        <v>53</v>
      </c>
      <c r="D169" s="14">
        <f t="shared" si="20"/>
        <v>13484355.600000001</v>
      </c>
      <c r="E169" s="14">
        <f t="shared" si="21"/>
        <v>3424065</v>
      </c>
      <c r="F169" s="14">
        <f>START_HERE!$G$9+START_HERE!$G$10</f>
        <v>2521000</v>
      </c>
      <c r="G169" s="14">
        <f t="shared" si="22"/>
        <v>7539290.6000000015</v>
      </c>
      <c r="H169" s="18">
        <f t="shared" si="23"/>
        <v>0.55911389640302878</v>
      </c>
      <c r="I169" t="str">
        <f>IF(G169&lt;0,"Below break even",IF(H169&lt;START_HERE!$B$19,"Profitable but below target","At or above target"))</f>
        <v>At or above target</v>
      </c>
    </row>
    <row r="170" spans="1:9" x14ac:dyDescent="0.3">
      <c r="A170" s="13">
        <v>178</v>
      </c>
      <c r="B170" s="17">
        <f>START_HERE!$G$6</f>
        <v>208.72</v>
      </c>
      <c r="C170" s="17">
        <f>START_HERE!$G$7</f>
        <v>53</v>
      </c>
      <c r="D170" s="14">
        <f t="shared" si="20"/>
        <v>13560538.399999999</v>
      </c>
      <c r="E170" s="14">
        <f t="shared" si="21"/>
        <v>3443410</v>
      </c>
      <c r="F170" s="14">
        <f>START_HERE!$G$9+START_HERE!$G$10</f>
        <v>2521000</v>
      </c>
      <c r="G170" s="14">
        <f t="shared" si="22"/>
        <v>7596128.3999999985</v>
      </c>
      <c r="H170" s="18">
        <f t="shared" si="23"/>
        <v>0.56016421884841971</v>
      </c>
      <c r="I170" t="str">
        <f>IF(G170&lt;0,"Below break even",IF(H170&lt;START_HERE!$B$19,"Profitable but below target","At or above target"))</f>
        <v>At or above target</v>
      </c>
    </row>
    <row r="171" spans="1:9" x14ac:dyDescent="0.3">
      <c r="A171" s="13">
        <v>179</v>
      </c>
      <c r="B171" s="17">
        <f>START_HERE!$G$6</f>
        <v>208.72</v>
      </c>
      <c r="C171" s="17">
        <f>START_HERE!$G$7</f>
        <v>53</v>
      </c>
      <c r="D171" s="14">
        <f t="shared" si="20"/>
        <v>13636721.199999999</v>
      </c>
      <c r="E171" s="14">
        <f t="shared" si="21"/>
        <v>3462755</v>
      </c>
      <c r="F171" s="14">
        <f>START_HERE!$G$9+START_HERE!$G$10</f>
        <v>2521000</v>
      </c>
      <c r="G171" s="14">
        <f t="shared" si="22"/>
        <v>7652966.1999999993</v>
      </c>
      <c r="H171" s="18">
        <f t="shared" si="23"/>
        <v>0.5612028058474936</v>
      </c>
      <c r="I171" t="str">
        <f>IF(G171&lt;0,"Below break even",IF(H171&lt;START_HERE!$B$19,"Profitable but below target","At or above target"))</f>
        <v>At or above target</v>
      </c>
    </row>
    <row r="172" spans="1:9" x14ac:dyDescent="0.3">
      <c r="A172" s="13">
        <v>180</v>
      </c>
      <c r="B172" s="17">
        <f>START_HERE!$G$6</f>
        <v>208.72</v>
      </c>
      <c r="C172" s="17">
        <f>START_HERE!$G$7</f>
        <v>53</v>
      </c>
      <c r="D172" s="14">
        <f t="shared" si="20"/>
        <v>13712904</v>
      </c>
      <c r="E172" s="14">
        <f t="shared" si="21"/>
        <v>3482100</v>
      </c>
      <c r="F172" s="14">
        <f>START_HERE!$G$9+START_HERE!$G$10</f>
        <v>2521000</v>
      </c>
      <c r="G172" s="14">
        <f t="shared" si="22"/>
        <v>7709804</v>
      </c>
      <c r="H172" s="18">
        <f t="shared" si="23"/>
        <v>0.56222985299102213</v>
      </c>
      <c r="I172" t="str">
        <f>IF(G172&lt;0,"Below break even",IF(H172&lt;START_HERE!$B$19,"Profitable but below target","At or above target"))</f>
        <v>At or above target</v>
      </c>
    </row>
    <row r="173" spans="1:9" x14ac:dyDescent="0.3">
      <c r="A173" s="13">
        <v>181</v>
      </c>
      <c r="B173" s="17">
        <f>START_HERE!$G$6</f>
        <v>208.72</v>
      </c>
      <c r="C173" s="17">
        <f>START_HERE!$G$7</f>
        <v>53</v>
      </c>
      <c r="D173" s="14">
        <f t="shared" si="20"/>
        <v>13789086.800000001</v>
      </c>
      <c r="E173" s="14">
        <f t="shared" si="21"/>
        <v>3501445</v>
      </c>
      <c r="F173" s="14">
        <f>START_HERE!$G$9+START_HERE!$G$10</f>
        <v>2521000</v>
      </c>
      <c r="G173" s="14">
        <f t="shared" si="22"/>
        <v>7766641.8000000007</v>
      </c>
      <c r="H173" s="18">
        <f t="shared" si="23"/>
        <v>0.56324555154732947</v>
      </c>
      <c r="I173" t="str">
        <f>IF(G173&lt;0,"Below break even",IF(H173&lt;START_HERE!$B$19,"Profitable but below target","At or above target"))</f>
        <v>At or above target</v>
      </c>
    </row>
    <row r="174" spans="1:9" x14ac:dyDescent="0.3">
      <c r="A174" s="13">
        <v>182</v>
      </c>
      <c r="B174" s="17">
        <f>START_HERE!$G$6</f>
        <v>208.72</v>
      </c>
      <c r="C174" s="17">
        <f>START_HERE!$G$7</f>
        <v>53</v>
      </c>
      <c r="D174" s="14">
        <f t="shared" si="20"/>
        <v>13865269.6</v>
      </c>
      <c r="E174" s="14">
        <f t="shared" si="21"/>
        <v>3520790</v>
      </c>
      <c r="F174" s="14">
        <f>START_HERE!$G$9+START_HERE!$G$10</f>
        <v>2521000</v>
      </c>
      <c r="G174" s="14">
        <f t="shared" si="22"/>
        <v>7823479.5999999996</v>
      </c>
      <c r="H174" s="18">
        <f t="shared" si="23"/>
        <v>0.56425008858103987</v>
      </c>
      <c r="I174" t="str">
        <f>IF(G174&lt;0,"Below break even",IF(H174&lt;START_HERE!$B$19,"Profitable but below target","At or above target"))</f>
        <v>At or above target</v>
      </c>
    </row>
    <row r="175" spans="1:9" x14ac:dyDescent="0.3">
      <c r="A175" s="13">
        <v>183</v>
      </c>
      <c r="B175" s="17">
        <f>START_HERE!$G$6</f>
        <v>208.72</v>
      </c>
      <c r="C175" s="17">
        <f>START_HERE!$G$7</f>
        <v>53</v>
      </c>
      <c r="D175" s="14">
        <f t="shared" si="20"/>
        <v>13941452.4</v>
      </c>
      <c r="E175" s="14">
        <f t="shared" si="21"/>
        <v>3540135</v>
      </c>
      <c r="F175" s="14">
        <f>START_HERE!$G$9+START_HERE!$G$10</f>
        <v>2521000</v>
      </c>
      <c r="G175" s="14">
        <f t="shared" si="22"/>
        <v>7880317.4000000004</v>
      </c>
      <c r="H175" s="18">
        <f t="shared" si="23"/>
        <v>0.56524364706793395</v>
      </c>
      <c r="I175" t="str">
        <f>IF(G175&lt;0,"Below break even",IF(H175&lt;START_HERE!$B$19,"Profitable but below target","At or above target"))</f>
        <v>At or above target</v>
      </c>
    </row>
    <row r="176" spans="1:9" x14ac:dyDescent="0.3">
      <c r="A176" s="13">
        <v>184</v>
      </c>
      <c r="B176" s="17">
        <f>START_HERE!$G$6</f>
        <v>208.72</v>
      </c>
      <c r="C176" s="17">
        <f>START_HERE!$G$7</f>
        <v>53</v>
      </c>
      <c r="D176" s="14">
        <f t="shared" si="20"/>
        <v>14017635.200000001</v>
      </c>
      <c r="E176" s="14">
        <f t="shared" si="21"/>
        <v>3559480</v>
      </c>
      <c r="F176" s="14">
        <f>START_HERE!$G$9+START_HERE!$G$10</f>
        <v>2521000</v>
      </c>
      <c r="G176" s="14">
        <f t="shared" si="22"/>
        <v>7937155.2000000011</v>
      </c>
      <c r="H176" s="18">
        <f t="shared" si="23"/>
        <v>0.56622640600605734</v>
      </c>
      <c r="I176" t="str">
        <f>IF(G176&lt;0,"Below break even",IF(H176&lt;START_HERE!$B$19,"Profitable but below target","At or above target"))</f>
        <v>At or above target</v>
      </c>
    </row>
    <row r="177" spans="1:9" x14ac:dyDescent="0.3">
      <c r="A177" s="13">
        <v>185</v>
      </c>
      <c r="B177" s="17">
        <f>START_HERE!$G$6</f>
        <v>208.72</v>
      </c>
      <c r="C177" s="17">
        <f>START_HERE!$G$7</f>
        <v>53</v>
      </c>
      <c r="D177" s="14">
        <f t="shared" si="20"/>
        <v>14093817.999999998</v>
      </c>
      <c r="E177" s="14">
        <f t="shared" si="21"/>
        <v>3578825</v>
      </c>
      <c r="F177" s="14">
        <f>START_HERE!$G$9+START_HERE!$G$10</f>
        <v>2521000</v>
      </c>
      <c r="G177" s="14">
        <f t="shared" si="22"/>
        <v>7993992.9999999981</v>
      </c>
      <c r="H177" s="18">
        <f t="shared" si="23"/>
        <v>0.56719854052322793</v>
      </c>
      <c r="I177" t="str">
        <f>IF(G177&lt;0,"Below break even",IF(H177&lt;START_HERE!$B$19,"Profitable but below target","At or above target"))</f>
        <v>At or above target</v>
      </c>
    </row>
    <row r="178" spans="1:9" x14ac:dyDescent="0.3">
      <c r="A178" s="13">
        <v>186</v>
      </c>
      <c r="B178" s="17">
        <f>START_HERE!$G$6</f>
        <v>208.72</v>
      </c>
      <c r="C178" s="17">
        <f>START_HERE!$G$7</f>
        <v>53</v>
      </c>
      <c r="D178" s="14">
        <f t="shared" si="20"/>
        <v>14170000.799999999</v>
      </c>
      <c r="E178" s="14">
        <f t="shared" si="21"/>
        <v>3598170</v>
      </c>
      <c r="F178" s="14">
        <f>START_HERE!$G$9+START_HERE!$G$10</f>
        <v>2521000</v>
      </c>
      <c r="G178" s="14">
        <f t="shared" si="22"/>
        <v>8050830.7999999989</v>
      </c>
      <c r="H178" s="18">
        <f t="shared" si="23"/>
        <v>0.56816022198107419</v>
      </c>
      <c r="I178" t="str">
        <f>IF(G178&lt;0,"Below break even",IF(H178&lt;START_HERE!$B$19,"Profitable but below target","At or above target"))</f>
        <v>At or above target</v>
      </c>
    </row>
    <row r="179" spans="1:9" x14ac:dyDescent="0.3">
      <c r="A179" s="13">
        <v>187</v>
      </c>
      <c r="B179" s="17">
        <f>START_HERE!$G$6</f>
        <v>208.72</v>
      </c>
      <c r="C179" s="17">
        <f>START_HERE!$G$7</f>
        <v>53</v>
      </c>
      <c r="D179" s="14">
        <f t="shared" si="20"/>
        <v>14246183.6</v>
      </c>
      <c r="E179" s="14">
        <f t="shared" si="21"/>
        <v>3617515</v>
      </c>
      <c r="F179" s="14">
        <f>START_HERE!$G$9+START_HERE!$G$10</f>
        <v>2521000</v>
      </c>
      <c r="G179" s="14">
        <f t="shared" si="22"/>
        <v>8107668.5999999996</v>
      </c>
      <c r="H179" s="18">
        <f t="shared" si="23"/>
        <v>0.56911161807573507</v>
      </c>
      <c r="I179" t="str">
        <f>IF(G179&lt;0,"Below break even",IF(H179&lt;START_HERE!$B$19,"Profitable but below target","At or above target"))</f>
        <v>At or above target</v>
      </c>
    </row>
    <row r="180" spans="1:9" x14ac:dyDescent="0.3">
      <c r="A180" s="13">
        <v>188</v>
      </c>
      <c r="B180" s="17">
        <f>START_HERE!$G$6</f>
        <v>208.72</v>
      </c>
      <c r="C180" s="17">
        <f>START_HERE!$G$7</f>
        <v>53</v>
      </c>
      <c r="D180" s="14">
        <f t="shared" si="20"/>
        <v>14322366.4</v>
      </c>
      <c r="E180" s="14">
        <f t="shared" si="21"/>
        <v>3636860</v>
      </c>
      <c r="F180" s="14">
        <f>START_HERE!$G$9+START_HERE!$G$10</f>
        <v>2521000</v>
      </c>
      <c r="G180" s="14">
        <f t="shared" si="22"/>
        <v>8164506.4000000004</v>
      </c>
      <c r="H180" s="18">
        <f t="shared" si="23"/>
        <v>0.57005289293534622</v>
      </c>
      <c r="I180" t="str">
        <f>IF(G180&lt;0,"Below break even",IF(H180&lt;START_HERE!$B$19,"Profitable but below target","At or above target"))</f>
        <v>At or above target</v>
      </c>
    </row>
    <row r="181" spans="1:9" x14ac:dyDescent="0.3">
      <c r="A181" s="13">
        <v>189</v>
      </c>
      <c r="B181" s="17">
        <f>START_HERE!$G$6</f>
        <v>208.72</v>
      </c>
      <c r="C181" s="17">
        <f>START_HERE!$G$7</f>
        <v>53</v>
      </c>
      <c r="D181" s="14">
        <f t="shared" si="20"/>
        <v>14398549.200000001</v>
      </c>
      <c r="E181" s="14">
        <f t="shared" si="21"/>
        <v>3656205</v>
      </c>
      <c r="F181" s="14">
        <f>START_HERE!$G$9+START_HERE!$G$10</f>
        <v>2521000</v>
      </c>
      <c r="G181" s="14">
        <f t="shared" si="22"/>
        <v>8221344.2000000011</v>
      </c>
      <c r="H181" s="18">
        <f t="shared" si="23"/>
        <v>0.57098420721443244</v>
      </c>
      <c r="I181" t="str">
        <f>IF(G181&lt;0,"Below break even",IF(H181&lt;START_HERE!$B$19,"Profitable but below target","At or above target"))</f>
        <v>At or above target</v>
      </c>
    </row>
    <row r="182" spans="1:9" x14ac:dyDescent="0.3">
      <c r="A182" s="13">
        <v>190</v>
      </c>
      <c r="B182" s="17">
        <f>START_HERE!$G$6</f>
        <v>208.72</v>
      </c>
      <c r="C182" s="17">
        <f>START_HERE!$G$7</f>
        <v>53</v>
      </c>
      <c r="D182" s="14">
        <f t="shared" si="20"/>
        <v>14474732.000000002</v>
      </c>
      <c r="E182" s="14">
        <f t="shared" si="21"/>
        <v>3675550</v>
      </c>
      <c r="F182" s="14">
        <f>START_HERE!$G$9+START_HERE!$G$10</f>
        <v>2521000</v>
      </c>
      <c r="G182" s="14">
        <f t="shared" si="22"/>
        <v>8278182.0000000019</v>
      </c>
      <c r="H182" s="18">
        <f t="shared" si="23"/>
        <v>0.57190571818531777</v>
      </c>
      <c r="I182" t="str">
        <f>IF(G182&lt;0,"Below break even",IF(H182&lt;START_HERE!$B$19,"Profitable but below target","At or above target"))</f>
        <v>At or above target</v>
      </c>
    </row>
    <row r="183" spans="1:9" x14ac:dyDescent="0.3">
      <c r="A183" s="13">
        <v>191</v>
      </c>
      <c r="B183" s="17">
        <f>START_HERE!$G$6</f>
        <v>208.72</v>
      </c>
      <c r="C183" s="17">
        <f>START_HERE!$G$7</f>
        <v>53</v>
      </c>
      <c r="D183" s="14">
        <f t="shared" si="20"/>
        <v>14550914.799999999</v>
      </c>
      <c r="E183" s="14">
        <f t="shared" si="21"/>
        <v>3694895</v>
      </c>
      <c r="F183" s="14">
        <f>START_HERE!$G$9+START_HERE!$G$10</f>
        <v>2521000</v>
      </c>
      <c r="G183" s="14">
        <f t="shared" si="22"/>
        <v>8335019.7999999989</v>
      </c>
      <c r="H183" s="18">
        <f t="shared" si="23"/>
        <v>0.57281757982666492</v>
      </c>
      <c r="I183" t="str">
        <f>IF(G183&lt;0,"Below break even",IF(H183&lt;START_HERE!$B$19,"Profitable but below target","At or above target"))</f>
        <v>At or above target</v>
      </c>
    </row>
    <row r="184" spans="1:9" x14ac:dyDescent="0.3">
      <c r="A184" s="13">
        <v>192</v>
      </c>
      <c r="B184" s="17">
        <f>START_HERE!$G$6</f>
        <v>208.72</v>
      </c>
      <c r="C184" s="17">
        <f>START_HERE!$G$7</f>
        <v>53</v>
      </c>
      <c r="D184" s="14">
        <f t="shared" si="20"/>
        <v>14627097.6</v>
      </c>
      <c r="E184" s="14">
        <f t="shared" si="21"/>
        <v>3714240</v>
      </c>
      <c r="F184" s="14">
        <f>START_HERE!$G$9+START_HERE!$G$10</f>
        <v>2521000</v>
      </c>
      <c r="G184" s="14">
        <f t="shared" si="22"/>
        <v>8391857.5999999996</v>
      </c>
      <c r="H184" s="18">
        <f t="shared" si="23"/>
        <v>0.5737199429092481</v>
      </c>
      <c r="I184" t="str">
        <f>IF(G184&lt;0,"Below break even",IF(H184&lt;START_HERE!$B$19,"Profitable but below target","At or above target"))</f>
        <v>At or above target</v>
      </c>
    </row>
    <row r="185" spans="1:9" x14ac:dyDescent="0.3">
      <c r="A185" s="13">
        <v>193</v>
      </c>
      <c r="B185" s="17">
        <f>START_HERE!$G$6</f>
        <v>208.72</v>
      </c>
      <c r="C185" s="17">
        <f>START_HERE!$G$7</f>
        <v>53</v>
      </c>
      <c r="D185" s="14">
        <f t="shared" si="20"/>
        <v>14703280.4</v>
      </c>
      <c r="E185" s="14">
        <f t="shared" si="21"/>
        <v>3733585</v>
      </c>
      <c r="F185" s="14">
        <f>START_HERE!$G$9+START_HERE!$G$10</f>
        <v>2521000</v>
      </c>
      <c r="G185" s="14">
        <f t="shared" si="22"/>
        <v>8448695.4000000004</v>
      </c>
      <c r="H185" s="18">
        <f t="shared" si="23"/>
        <v>0.57461295507905841</v>
      </c>
      <c r="I185" t="str">
        <f>IF(G185&lt;0,"Below break even",IF(H185&lt;START_HERE!$B$19,"Profitable but below target","At or above target"))</f>
        <v>At or above target</v>
      </c>
    </row>
    <row r="186" spans="1:9" x14ac:dyDescent="0.3">
      <c r="A186" s="13">
        <v>194</v>
      </c>
      <c r="B186" s="17">
        <f>START_HERE!$G$6</f>
        <v>208.72</v>
      </c>
      <c r="C186" s="17">
        <f>START_HERE!$G$7</f>
        <v>53</v>
      </c>
      <c r="D186" s="14">
        <f t="shared" si="20"/>
        <v>14779463.199999999</v>
      </c>
      <c r="E186" s="14">
        <f t="shared" si="21"/>
        <v>3752930</v>
      </c>
      <c r="F186" s="14">
        <f>START_HERE!$G$9+START_HERE!$G$10</f>
        <v>2521000</v>
      </c>
      <c r="G186" s="14">
        <f t="shared" si="22"/>
        <v>8505533.1999999993</v>
      </c>
      <c r="H186" s="18">
        <f t="shared" si="23"/>
        <v>0.57549676093783975</v>
      </c>
      <c r="I186" t="str">
        <f>IF(G186&lt;0,"Below break even",IF(H186&lt;START_HERE!$B$19,"Profitable but below target","At or above target"))</f>
        <v>At or above target</v>
      </c>
    </row>
    <row r="187" spans="1:9" x14ac:dyDescent="0.3">
      <c r="A187" s="13">
        <v>195</v>
      </c>
      <c r="B187" s="17">
        <f>START_HERE!$G$6</f>
        <v>208.72</v>
      </c>
      <c r="C187" s="17">
        <f>START_HERE!$G$7</f>
        <v>53</v>
      </c>
      <c r="D187" s="14">
        <f t="shared" si="20"/>
        <v>14855646</v>
      </c>
      <c r="E187" s="14">
        <f t="shared" si="21"/>
        <v>3772275</v>
      </c>
      <c r="F187" s="14">
        <f>START_HERE!$G$9+START_HERE!$G$10</f>
        <v>2521000</v>
      </c>
      <c r="G187" s="14">
        <f t="shared" si="22"/>
        <v>8562371</v>
      </c>
      <c r="H187" s="18">
        <f t="shared" si="23"/>
        <v>0.57637150212114641</v>
      </c>
      <c r="I187" t="str">
        <f>IF(G187&lt;0,"Below break even",IF(H187&lt;START_HERE!$B$19,"Profitable but below target","At or above target"))</f>
        <v>At or above target</v>
      </c>
    </row>
    <row r="188" spans="1:9" x14ac:dyDescent="0.3">
      <c r="A188" s="13">
        <v>196</v>
      </c>
      <c r="B188" s="17">
        <f>START_HERE!$G$6</f>
        <v>208.72</v>
      </c>
      <c r="C188" s="17">
        <f>START_HERE!$G$7</f>
        <v>53</v>
      </c>
      <c r="D188" s="14">
        <f t="shared" si="20"/>
        <v>14931828.800000001</v>
      </c>
      <c r="E188" s="14">
        <f t="shared" si="21"/>
        <v>3791620</v>
      </c>
      <c r="F188" s="14">
        <f>START_HERE!$G$9+START_HERE!$G$10</f>
        <v>2521000</v>
      </c>
      <c r="G188" s="14">
        <f t="shared" si="22"/>
        <v>8619208.8000000007</v>
      </c>
      <c r="H188" s="18">
        <f t="shared" si="23"/>
        <v>0.57723731737401118</v>
      </c>
      <c r="I188" t="str">
        <f>IF(G188&lt;0,"Below break even",IF(H188&lt;START_HERE!$B$19,"Profitable but below target","At or above target"))</f>
        <v>At or above target</v>
      </c>
    </row>
    <row r="189" spans="1:9" x14ac:dyDescent="0.3">
      <c r="A189" s="13">
        <v>197</v>
      </c>
      <c r="B189" s="17">
        <f>START_HERE!$G$6</f>
        <v>208.72</v>
      </c>
      <c r="C189" s="17">
        <f>START_HERE!$G$7</f>
        <v>53</v>
      </c>
      <c r="D189" s="14">
        <f t="shared" si="20"/>
        <v>15008011.6</v>
      </c>
      <c r="E189" s="14">
        <f t="shared" si="21"/>
        <v>3810965</v>
      </c>
      <c r="F189" s="14">
        <f>START_HERE!$G$9+START_HERE!$G$10</f>
        <v>2521000</v>
      </c>
      <c r="G189" s="14">
        <f t="shared" si="22"/>
        <v>8676046.5999999996</v>
      </c>
      <c r="H189" s="18">
        <f t="shared" si="23"/>
        <v>0.5780943426243087</v>
      </c>
      <c r="I189" t="str">
        <f>IF(G189&lt;0,"Below break even",IF(H189&lt;START_HERE!$B$19,"Profitable but below target","At or above target"))</f>
        <v>At or above target</v>
      </c>
    </row>
    <row r="190" spans="1:9" x14ac:dyDescent="0.3">
      <c r="A190" s="13">
        <v>198</v>
      </c>
      <c r="B190" s="17">
        <f>START_HERE!$G$6</f>
        <v>208.72</v>
      </c>
      <c r="C190" s="17">
        <f>START_HERE!$G$7</f>
        <v>53</v>
      </c>
      <c r="D190" s="14">
        <f t="shared" si="20"/>
        <v>15084194.399999999</v>
      </c>
      <c r="E190" s="14">
        <f t="shared" si="21"/>
        <v>3830310</v>
      </c>
      <c r="F190" s="14">
        <f>START_HERE!$G$9+START_HERE!$G$10</f>
        <v>2521000</v>
      </c>
      <c r="G190" s="14">
        <f t="shared" si="22"/>
        <v>8732884.3999999985</v>
      </c>
      <c r="H190" s="18">
        <f t="shared" si="23"/>
        <v>0.57894271105389616</v>
      </c>
      <c r="I190" t="str">
        <f>IF(G190&lt;0,"Below break even",IF(H190&lt;START_HERE!$B$19,"Profitable but below target","At or above target"))</f>
        <v>At or above target</v>
      </c>
    </row>
    <row r="191" spans="1:9" x14ac:dyDescent="0.3">
      <c r="A191" s="13">
        <v>199</v>
      </c>
      <c r="B191" s="17">
        <f>START_HERE!$G$6</f>
        <v>208.72</v>
      </c>
      <c r="C191" s="17">
        <f>START_HERE!$G$7</f>
        <v>53</v>
      </c>
      <c r="D191" s="14">
        <f t="shared" si="20"/>
        <v>15160377.199999999</v>
      </c>
      <c r="E191" s="14">
        <f t="shared" si="21"/>
        <v>3849655</v>
      </c>
      <c r="F191" s="14">
        <f>START_HERE!$G$9+START_HERE!$G$10</f>
        <v>2521000</v>
      </c>
      <c r="G191" s="14">
        <f t="shared" si="22"/>
        <v>8789722.1999999993</v>
      </c>
      <c r="H191" s="18">
        <f t="shared" si="23"/>
        <v>0.57978255316760852</v>
      </c>
      <c r="I191" t="str">
        <f>IF(G191&lt;0,"Below break even",IF(H191&lt;START_HERE!$B$19,"Profitable but below target","At or above target"))</f>
        <v>At or above target</v>
      </c>
    </row>
    <row r="192" spans="1:9" x14ac:dyDescent="0.3">
      <c r="A192" s="13">
        <v>200</v>
      </c>
      <c r="B192" s="17">
        <f>START_HERE!$G$6</f>
        <v>208.72</v>
      </c>
      <c r="C192" s="17">
        <f>START_HERE!$G$7</f>
        <v>53</v>
      </c>
      <c r="D192" s="14">
        <f t="shared" si="20"/>
        <v>15236560</v>
      </c>
      <c r="E192" s="14">
        <f t="shared" si="21"/>
        <v>3869000</v>
      </c>
      <c r="F192" s="14">
        <f>START_HERE!$G$9+START_HERE!$G$10</f>
        <v>2521000</v>
      </c>
      <c r="G192" s="14">
        <f t="shared" si="22"/>
        <v>8846560</v>
      </c>
      <c r="H192" s="18">
        <f t="shared" si="23"/>
        <v>0.58061399686018367</v>
      </c>
      <c r="I192" t="str">
        <f>IF(G192&lt;0,"Below break even",IF(H192&lt;START_HERE!$B$19,"Profitable but below target","At or above target"))</f>
        <v>At or above target</v>
      </c>
    </row>
    <row r="193" spans="2:8" x14ac:dyDescent="0.3">
      <c r="B193" s="17"/>
      <c r="C193" s="17"/>
      <c r="D193" s="14"/>
      <c r="E193" s="14"/>
      <c r="F193" s="14"/>
      <c r="G193" s="14"/>
      <c r="H193" s="18"/>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
  <sheetViews>
    <sheetView workbookViewId="0">
      <selection activeCell="H1" sqref="H1:H1048576"/>
    </sheetView>
  </sheetViews>
  <sheetFormatPr defaultRowHeight="14.4" x14ac:dyDescent="0.3"/>
  <cols>
    <col min="1" max="1" width="22" customWidth="1"/>
    <col min="2" max="2" width="16" style="13" customWidth="1"/>
    <col min="4" max="4" width="25.44140625" bestFit="1" customWidth="1"/>
    <col min="5" max="5" width="16" style="13" customWidth="1"/>
    <col min="7" max="7" width="23.77734375" bestFit="1" customWidth="1"/>
    <col min="8" max="8" width="16" style="13" customWidth="1"/>
  </cols>
  <sheetData>
    <row r="1" spans="1:8" ht="21" x14ac:dyDescent="0.4">
      <c r="A1" s="1" t="s">
        <v>109</v>
      </c>
    </row>
    <row r="4" spans="1:8" x14ac:dyDescent="0.3">
      <c r="A4" s="4" t="s">
        <v>4</v>
      </c>
      <c r="B4" s="19" t="str">
        <f>START_HERE!$B$5</f>
        <v>Base</v>
      </c>
      <c r="D4" s="4" t="s">
        <v>28</v>
      </c>
      <c r="E4" s="20">
        <f>START_HERE!$G$14</f>
        <v>23.333333333333332</v>
      </c>
      <c r="G4" s="4" t="s">
        <v>110</v>
      </c>
      <c r="H4" s="21">
        <f>START_HERE!$G$6</f>
        <v>208.72</v>
      </c>
    </row>
    <row r="5" spans="1:8" x14ac:dyDescent="0.3">
      <c r="A5" s="4" t="s">
        <v>8</v>
      </c>
      <c r="B5" s="20">
        <f>START_HERE!$B$8</f>
        <v>70</v>
      </c>
      <c r="D5" s="4" t="s">
        <v>31</v>
      </c>
      <c r="E5" s="20">
        <f>START_HERE!$G$15</f>
        <v>3</v>
      </c>
      <c r="G5" s="4" t="s">
        <v>111</v>
      </c>
      <c r="H5" s="21">
        <f>START_HERE!$G$7</f>
        <v>53</v>
      </c>
    </row>
    <row r="6" spans="1:8" x14ac:dyDescent="0.3">
      <c r="A6" s="4" t="s">
        <v>22</v>
      </c>
      <c r="B6" s="20">
        <f>START_HERE!$G$12</f>
        <v>44.354285352353536</v>
      </c>
      <c r="D6" s="4" t="s">
        <v>13</v>
      </c>
      <c r="E6" s="21">
        <f>START_HERE!$G$9</f>
        <v>2065000</v>
      </c>
      <c r="G6" s="4" t="s">
        <v>112</v>
      </c>
      <c r="H6" s="21">
        <f>START_HERE!$G$8</f>
        <v>155.72</v>
      </c>
    </row>
    <row r="7" spans="1:8" x14ac:dyDescent="0.3">
      <c r="A7" s="4" t="s">
        <v>25</v>
      </c>
      <c r="B7" s="20">
        <f>START_HERE!$G$13</f>
        <v>53.713684457053724</v>
      </c>
      <c r="D7" s="4" t="s">
        <v>16</v>
      </c>
      <c r="E7" s="21">
        <f>START_HERE!$G$10</f>
        <v>456000</v>
      </c>
      <c r="G7" s="4" t="s">
        <v>38</v>
      </c>
      <c r="H7" s="22">
        <f>START_HERE!$B$19</f>
        <v>0.13</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4"/>
  <sheetViews>
    <sheetView workbookViewId="0"/>
  </sheetViews>
  <sheetFormatPr defaultRowHeight="14.4" x14ac:dyDescent="0.3"/>
  <cols>
    <col min="1" max="1" width="115" customWidth="1"/>
  </cols>
  <sheetData>
    <row r="1" spans="1:1" ht="21" x14ac:dyDescent="0.4">
      <c r="A1" s="1" t="s">
        <v>113</v>
      </c>
    </row>
    <row r="3" spans="1:1" x14ac:dyDescent="0.3">
      <c r="A3" s="8" t="s">
        <v>114</v>
      </c>
    </row>
    <row r="4" spans="1:1" x14ac:dyDescent="0.3">
      <c r="A4" s="8" t="s">
        <v>115</v>
      </c>
    </row>
    <row r="5" spans="1:1" x14ac:dyDescent="0.3">
      <c r="A5" s="8" t="s">
        <v>116</v>
      </c>
    </row>
    <row r="6" spans="1:1" ht="28.8" x14ac:dyDescent="0.3">
      <c r="A6" s="8" t="s">
        <v>117</v>
      </c>
    </row>
    <row r="7" spans="1:1" x14ac:dyDescent="0.3">
      <c r="A7" s="8" t="s">
        <v>118</v>
      </c>
    </row>
    <row r="8" spans="1:1" x14ac:dyDescent="0.3">
      <c r="A8" s="8" t="s">
        <v>119</v>
      </c>
    </row>
    <row r="9" spans="1:1" x14ac:dyDescent="0.3">
      <c r="A9" s="8" t="s">
        <v>120</v>
      </c>
    </row>
    <row r="10" spans="1:1" ht="28.8" x14ac:dyDescent="0.3">
      <c r="A10" s="8" t="s">
        <v>121</v>
      </c>
    </row>
    <row r="11" spans="1:1" x14ac:dyDescent="0.3">
      <c r="A11" s="8" t="s">
        <v>122</v>
      </c>
    </row>
    <row r="12" spans="1:1" x14ac:dyDescent="0.3">
      <c r="A12" s="8" t="s">
        <v>123</v>
      </c>
    </row>
    <row r="13" spans="1:1" x14ac:dyDescent="0.3">
      <c r="A13" s="8" t="s">
        <v>124</v>
      </c>
    </row>
    <row r="14" spans="1:1" x14ac:dyDescent="0.3">
      <c r="A14" s="8" t="s">
        <v>125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START_HERE</vt:lpstr>
      <vt:lpstr>Scenario_Assumptions</vt:lpstr>
      <vt:lpstr>Staffing_Assumptions</vt:lpstr>
      <vt:lpstr>Admissions_Engine</vt:lpstr>
      <vt:lpstr>Profit_Simulator</vt:lpstr>
      <vt:lpstr>Dashboard</vt:lpstr>
      <vt:lpstr>How_to_Use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Nick Lynch</cp:lastModifiedBy>
  <dcterms:created xsi:type="dcterms:W3CDTF">2026-03-08T02:12:20Z</dcterms:created>
  <dcterms:modified xsi:type="dcterms:W3CDTF">2026-03-08T17:36:39Z</dcterms:modified>
</cp:coreProperties>
</file>